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C:\Users\EBYDWYS\pycharmproject\My_Bentley\PythonProject\gui\"/>
    </mc:Choice>
  </mc:AlternateContent>
  <xr:revisionPtr revIDLastSave="0" documentId="13_ncr:1_{D24F513B-B56D-425D-A73C-855E485CFD78}" xr6:coauthVersionLast="47" xr6:coauthVersionMax="47" xr10:uidLastSave="{00000000-0000-0000-0000-000000000000}"/>
  <bookViews>
    <workbookView xWindow="-110" yWindow="-110" windowWidth="19420" windowHeight="11500" tabRatio="778" activeTab="1" xr2:uid="{00000000-000D-0000-FFFF-FFFF00000000}"/>
  </bookViews>
  <sheets>
    <sheet name="Demo Mode" sheetId="1" r:id="rId1"/>
    <sheet name="Customer Enrollment" sheetId="2" r:id="rId2"/>
    <sheet name="Add VIN" sheetId="3" r:id="rId3"/>
    <sheet name="App Registration Pages" sheetId="4" r:id="rId4"/>
    <sheet name="App Log in-Log out" sheetId="5" r:id="rId5"/>
    <sheet name="Nickname" sheetId="6" r:id="rId6"/>
    <sheet name="Services and licenses" sheetId="7" r:id="rId7"/>
    <sheet name="Vehicle Status Report" sheetId="8" r:id="rId8"/>
    <sheet name="Remote Lock-Unlock" sheetId="9" r:id="rId9"/>
    <sheet name="Remote Honk &amp; Flash" sheetId="10" r:id="rId10"/>
    <sheet name="My Car Statistics" sheetId="11" r:id="rId11"/>
    <sheet name="My Cabin Comfort" sheetId="12" r:id="rId12"/>
    <sheet name="My Battery Charge" sheetId="13" r:id="rId13"/>
    <sheet name="Service Management" sheetId="14" r:id="rId14"/>
    <sheet name="Activate Heating" sheetId="15" r:id="rId15"/>
    <sheet name="Roadside Assistance" sheetId="16" r:id="rId16"/>
    <sheet name="Data Services" sheetId="17" r:id="rId17"/>
    <sheet name="My Alerts" sheetId="18" r:id="rId18"/>
    <sheet name="Theft Alarm" sheetId="19" r:id="rId19"/>
    <sheet name="Stolen Vehicle Locator" sheetId="20" r:id="rId20"/>
    <sheet name="Audials" sheetId="21" r:id="rId21"/>
    <sheet name="Car Finder" sheetId="22" r:id="rId22"/>
    <sheet name="Nav Companion" sheetId="23" r:id="rId23"/>
    <sheet name="Notifications" sheetId="24" r:id="rId24"/>
    <sheet name="Push Notifications" sheetId="25" r:id="rId25"/>
    <sheet name="Profile" sheetId="26" r:id="rId26"/>
    <sheet name="Localization" sheetId="27" r:id="rId27"/>
    <sheet name="Privacy Mode" sheetId="28" r:id="rId28"/>
    <sheet name="Remote Park Assist" sheetId="29" r:id="rId29"/>
    <sheet name="Stolen Vehicle Tracking" sheetId="30" r:id="rId30"/>
  </sheets>
  <externalReferences>
    <externalReference r:id="rId31"/>
    <externalReference r:id="rId32"/>
    <externalReference r:id="rId33"/>
  </externalReferences>
  <definedNames>
    <definedName name="Blocked" localSheetId="29">OFFSET(#REF!,0,0,COUNTA(#REF!)-1,1)</definedName>
    <definedName name="Blocked">[1]Dashboard!$G$17:INDEX([1]Dashboard!$G$17:$G$49,COUNT([1]Dashboard!$G$17:$G$49,"&lt;=0"))</definedName>
    <definedName name="Class">#REF!</definedName>
    <definedName name="Failed" localSheetId="29">OFFSET(#REF!,0,0,COUNTA(#REF!)-1,1)</definedName>
    <definedName name="Failed">[1]Dashboard!$F$17:INDEX([1]Dashboard!$F$17:$F$49,COUNT([1]Dashboard!$F$17:$F$49,"&lt;=0 "))</definedName>
    <definedName name="NA" localSheetId="29">OFFSET(#REF!,0,0,COUNTA(#REF!)-1,1)</definedName>
    <definedName name="NA">[1]Dashboard!$H$17:INDEX([1]Dashboard!$H$17:$H$49,COUNT([1]Dashboard!$H$17:$H$49,"&lt;=0"))</definedName>
    <definedName name="OCat">#REF!</definedName>
    <definedName name="Passed" localSheetId="29">OFFSET(#REF!,0,0,COUNTA(#REF!)-1,1)</definedName>
    <definedName name="Passed">[1]Dashboard!$E$17:INDEX([1]Dashboard!$E$17:$E$49,COUNT([1]Dashboard!$E$17:$E$49,"&lt;=0"))</definedName>
    <definedName name="Priority" localSheetId="1">[1]ChartBox!#REF!</definedName>
    <definedName name="Priority" localSheetId="10">[1]ChartBox!#REF!</definedName>
    <definedName name="Priority" localSheetId="9">[1]ChartBox!#REF!</definedName>
    <definedName name="Priority" localSheetId="29">[2]ChartBox!#REF!</definedName>
    <definedName name="Priority">[1]ChartBox!#REF!</definedName>
    <definedName name="Service" localSheetId="29">OFFSET(#REF!,0,0,COUNTA(#REF!)-1,1)</definedName>
    <definedName name="Service">OFFSET([3]Dashboard!$C$15,0,0,COUNTA([3]Dashboard!$C$15:$C$100)-1,1)</definedName>
    <definedName name="Service_Name" localSheetId="29">[2]Dashboard!$C$17:INDEX([2]Dashboard!$C$17:$C$49,COUNTIF([2]Dashboard!$C$17:$C$49,"?*"))</definedName>
    <definedName name="Service_Name">[1]Dashboard!$C$17:INDEX([1]Dashboard!$C$17:$C$49,COUNTIF([1]Dashboard!$C$17:$C$49,"?*"))</definedName>
    <definedName name="Status" localSheetId="1">[1]ChartBox!#REF!</definedName>
    <definedName name="Status" localSheetId="10">[1]ChartBox!#REF!</definedName>
    <definedName name="Status" localSheetId="9">[1]ChartBox!#REF!</definedName>
    <definedName name="Status" localSheetId="29">[2]ChartBox!#REF!</definedName>
    <definedName name="Status">[1]ChartBox!#REF!</definedName>
    <definedName name="TCIncomplete" localSheetId="29">[2]Dashboard!$J$17:INDEX([2]Dashboard!$J$17:$J$49,COUNTIF([2]Dashboard!$J$17:$J$49,"?*"))</definedName>
    <definedName name="TCIncomplete">[1]Dashboard!$J$17:INDEX([1]Dashboard!$J$17:$J$49,COUNTIF([1]Dashboard!$J$17:$J$49,"?*"))</definedName>
    <definedName name="TComplete" localSheetId="29">[2]Dashboard!$I$17:INDEX([2]Dashboard!$I$17:$I$49,COUNTIF([2]Dashboard!$I$17:$I$49,"?*"))</definedName>
    <definedName name="TComplete">[1]Dashboard!$I$17:INDEX([1]Dashboard!$I$17:$I$49,COUNTIF([1]Dashboard!$I$17:$I$49,"?*"))</definedName>
    <definedName name="TCPercentage">"(SUM(Summary!$E$6:$E$42,Summary!$F$6:$F$42, Summary!$G$6:$G$42, Summary!$H$6:$H$42))/SUM(Summary!$D$6:$D$42)*100"</definedName>
    <definedName name="TestType" localSheetId="1">[1]ChartBox!#REF!</definedName>
    <definedName name="TestType" localSheetId="10">[1]ChartBox!#REF!</definedName>
    <definedName name="TestType" localSheetId="9">[1]ChartBox!#REF!</definedName>
    <definedName name="TestType" localSheetId="29">[2]ChartBox!#REF!</definedName>
    <definedName name="TestType">[1]ChartBox!#REF!</definedName>
    <definedName name="TIPercentage" localSheetId="29">(1-(SUM([2]Dashboard!$E$17:$E$49,[2]Dashboard!$F$17:$F$49, [2]Dashboard!$G$17:$G$49, [2]Dashboard!$H$17:$H$49))/SUM([2]Dashboard!$D$17:$D$49))*100</definedName>
    <definedName name="TIPercentage">(1-(SUM([1]Dashboard!$E$17:$E$49,[1]Dashboard!$F$17:$F$49, [1]Dashboard!$G$17:$G$49, [1]Dashboard!$H$17:$H$49))/SUM([1]Dashboard!$D$17:$D$49))*100</definedName>
    <definedName name="TResult">#REF!</definedName>
    <definedName name="TTC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30" l="1"/>
  <c r="E23" i="30"/>
  <c r="E22" i="30"/>
  <c r="E21" i="30"/>
  <c r="E20" i="30"/>
  <c r="E16" i="30"/>
  <c r="E15" i="30"/>
  <c r="E56" i="29"/>
  <c r="E55" i="29"/>
  <c r="E54" i="29"/>
  <c r="E53" i="29"/>
  <c r="E52" i="29"/>
  <c r="E51" i="29"/>
  <c r="E50" i="29"/>
  <c r="E49" i="29"/>
  <c r="E48" i="29"/>
  <c r="E47" i="29"/>
  <c r="E46" i="29"/>
  <c r="E45" i="29"/>
  <c r="E44" i="29"/>
  <c r="E43" i="29"/>
  <c r="E42" i="29"/>
  <c r="E41" i="29"/>
  <c r="E40" i="29"/>
  <c r="E39" i="29"/>
  <c r="E38" i="29"/>
  <c r="E37" i="29"/>
  <c r="E36" i="29"/>
  <c r="E35" i="29"/>
  <c r="E34" i="29"/>
  <c r="E33" i="29"/>
  <c r="E32" i="29"/>
  <c r="E31" i="29"/>
  <c r="E30" i="29"/>
  <c r="E29" i="29"/>
  <c r="E28" i="29"/>
  <c r="E27" i="29"/>
  <c r="E26" i="29"/>
  <c r="E25" i="29"/>
  <c r="E24" i="29"/>
  <c r="E23" i="29"/>
  <c r="E22" i="29"/>
  <c r="E21" i="29"/>
  <c r="E20" i="29"/>
  <c r="E19" i="29"/>
  <c r="E18" i="29"/>
  <c r="E17" i="29"/>
  <c r="E16" i="29"/>
  <c r="E15" i="29"/>
  <c r="E14" i="29"/>
  <c r="E13" i="29"/>
  <c r="E12" i="29"/>
  <c r="E11" i="29"/>
  <c r="E10" i="29"/>
  <c r="E9" i="29"/>
  <c r="E8" i="29"/>
  <c r="E7" i="29"/>
  <c r="E6" i="29"/>
  <c r="E5" i="29"/>
  <c r="E10" i="28"/>
  <c r="E18" i="3"/>
  <c r="E17" i="3"/>
  <c r="E16" i="3"/>
  <c r="E15" i="3"/>
  <c r="E14" i="3"/>
  <c r="E13" i="3"/>
  <c r="E12" i="3"/>
  <c r="E11" i="3"/>
  <c r="E10" i="3"/>
  <c r="E9" i="3"/>
  <c r="E8" i="3"/>
  <c r="E7" i="3"/>
  <c r="E6" i="3"/>
  <c r="E5" i="3"/>
  <c r="E17" i="1"/>
  <c r="E16" i="1"/>
  <c r="E15" i="1"/>
  <c r="E14" i="1"/>
  <c r="E13" i="1"/>
  <c r="E12" i="1"/>
  <c r="E11" i="1"/>
  <c r="E10" i="1"/>
  <c r="E9" i="1"/>
  <c r="E8" i="1"/>
  <c r="E7" i="1"/>
  <c r="E6" i="1"/>
  <c r="E5" i="1"/>
</calcChain>
</file>

<file path=xl/sharedStrings.xml><?xml version="1.0" encoding="utf-8"?>
<sst xmlns="http://schemas.openxmlformats.org/spreadsheetml/2006/main" count="3410" uniqueCount="1640">
  <si>
    <t>Demo Mode</t>
  </si>
  <si>
    <t>Pre Condition</t>
  </si>
  <si>
    <t>Ensure that below preconditions are met before start the testing for this service
• My Bentley App must be installed in the mobile phone successfully.</t>
  </si>
  <si>
    <t>TC ID</t>
  </si>
  <si>
    <t>Region</t>
  </si>
  <si>
    <t>Test Priority</t>
  </si>
  <si>
    <t>Overall Effort (in Mins)</t>
  </si>
  <si>
    <t>Test Case Title</t>
  </si>
  <si>
    <t>Pre-Condition</t>
  </si>
  <si>
    <t>Pre-Condition (Vehicle)</t>
  </si>
  <si>
    <t>Action</t>
  </si>
  <si>
    <t>Expected Result</t>
  </si>
  <si>
    <t>Actual Result</t>
  </si>
  <si>
    <t>Test Result</t>
  </si>
  <si>
    <t>No Of Observations</t>
  </si>
  <si>
    <t>Defect IDs/Comments</t>
  </si>
  <si>
    <t>EUR, NAR, CHN</t>
  </si>
  <si>
    <t>High</t>
  </si>
  <si>
    <t>Accessing ''DISCOVER MY BENTLEY''</t>
  </si>
  <si>
    <t>• The screen focus is in "My Bentley App - DISCOVER MY BENTLEY" page
( Open My Bentley App --&gt; DISCOVER MY BENTLEY )</t>
  </si>
  <si>
    <t>Click on 'DISCOVER MY BENTLEY' link</t>
  </si>
  <si>
    <t>The Demo mode 'DASHBOARD' screen should be launched successfully displaying the vehicle details</t>
  </si>
  <si>
    <t>Verify 'DISCOVER MY BENTLEY' content</t>
  </si>
  <si>
    <t>• Any demo screen is in focus  
( Open My Bentley App --&gt; Click on "DISCOVER MY BENTLEY" link )</t>
  </si>
  <si>
    <t>Observe the Demo mode indication.</t>
  </si>
  <si>
    <t>The user must be indicated that it is a demo mode screen.</t>
  </si>
  <si>
    <t>Low</t>
  </si>
  <si>
    <t>Verify Demo mode 'DASHBOARD' content</t>
  </si>
  <si>
    <t>• Demo mode "DASHBOARD" screen is in focus 
( Open My Bentley App --&gt; Click on "DISCOVER MY BENTLEY" link )</t>
  </si>
  <si>
    <t>Under Demo mode 'DASHBOARD' screen :
1. Observe the Demo mode 'DASHBOARD' screen's text, icon &amp; buttons.</t>
  </si>
  <si>
    <t>* Demo mode - 'DASHBOARD' screen :
1. The screen should display like the actual logged account 'DASHBOARD' screen.
2. All  the below information  must be clear to the user
a. Vehicle image
b. Greetings, Day &amp; Date
c. Vehicle name
d. Vehicle Last contact details
f. Door lock &amp; Unlock  buttons
g. Fuel range
h. Mileage details
i. Lights status
j. Door status
k. Bonnet &amp; Boot status
l. Windows status
m. Oil details
n. Cluster warning navigation</t>
  </si>
  <si>
    <t>Verify Demo mode 'CAR REMOTE' screen and its content</t>
  </si>
  <si>
    <t>• Demo mode "CAR REMOTE" screen is in focus  
( Open My Bentley App --&gt; Click on "DISCOVER MY BENTLEY" link --&gt; Click on window symbol(CAR REMOTE) )</t>
  </si>
  <si>
    <t>Under Demo mode 'CAR REMOTE' screen :
1. Observe the Demo mode 'CAR REMOTE' screen's text, images &amp; modules.</t>
  </si>
  <si>
    <t>* Demo mode - 'CAR REMOTE' screen :
1. The screen should display like the actual logged account 'CAR REMOTE' screen.
2. All the below information  must be clear to the user
a. My Car Statistics (PHEV Only)
b. My Battery Charge (PHEV Only)
c. My Cabin Comfort (PHEV Only)
d. Remote Parking
e. My Alerts (NAR region Only)
f. Theft Alarm (EU region Only)
g. Roadside assistance
h. Data services
i. Audials(EU &amp; NAR Only)
j. Activate Heating (Optional)</t>
  </si>
  <si>
    <t>Verify a 'module/feature' under Demo mode 'CAR REMOTE' screen</t>
  </si>
  <si>
    <t>Under Demo mode 'CAR REMOTE' screen :
1. Click on a 'module
2. Observe the screen's text, icon &amp; buttons.</t>
  </si>
  <si>
    <t>1. The selected module(Ex : MY CAR STATISTICS , MY BATTERY CHARGE , MY CABIN COMFORT ….etc.) should be launched successfully.
2. The information, screen flow must be clear to the user</t>
  </si>
  <si>
    <t>Verify Demo mode 'NAVIGATION' screen and its content</t>
  </si>
  <si>
    <t>• Demo mode "NAVIGATION" screen is in focus 
( Open My Bentley App --&gt; Click on "DISCOVER MY BENTLEY" link --&gt; Click on navigation symbol(NAVIGATION) --&gt; Click on Allow )</t>
  </si>
  <si>
    <t>Under Demo mode 'NAVIGATION' screen :
1. Observe the Demo mode 'NAVIGATION' screen's text, icon &amp; buttons.</t>
  </si>
  <si>
    <t>* Demo mode - 'NAVIGATION' screen :
1. The screen should display like the actual logged account 'NAVIGATION' screen.
2. All  the below information  must be clear to the user
a. Screen Title : Navigation
b. Car icon
c. User icon
d. Search window
e. Satellite map enable-disable option
f. Real Time Traffic data enable-disable option</t>
  </si>
  <si>
    <t>Verify Demo mode 'NOTIFICATION' screen and its content</t>
  </si>
  <si>
    <t>• Demo mode "NOTIFICATION" screen is in focus
( Open My Bentley App --&gt;Click on "DISCOVER MY BENTLEY" link --&gt; Click on Bell symbol(NOTIFICATION) )</t>
  </si>
  <si>
    <t>Under Demo mode 'NOTIFICATION' screen :
1. Observe the Demo mode 'NOTIFICATION' screen's text, images, icons &amp; buttons.</t>
  </si>
  <si>
    <t xml:space="preserve">* Demo mode - 'NOTIFICATION' screen :
1. The screen should display like the actual logged account 'NOTIFICATION' screen.
2. All  the below information  must be clear to the user
a. Screen Title : Notifications
b. Last Updated Date &amp; Time Information
c. Tabs 'Actions' and 'Alerts'
d. 'Actions' tab :: Vehicle Specific Lock / Unlock - Successfull / Unsuccessfull Information along with date &amp; time information
e. 'Alerts' tab :: Vehicle Specific Alerts (Ex : Valet Alert , Speed Alert , Curfew Alert , Perimeter Alert) Information along with date &amp; time information
Note : 'Bin / Delete' symbol will be enabled only in 'Alerts' tab only if any alerts are present </t>
  </si>
  <si>
    <t>Verify Demo mode 'PROFILE' screen and its content</t>
  </si>
  <si>
    <t>• Demo mode "PROFILE" screen is in focus 
( Open My Bentley App --&gt; Click on "DISCOVER MY BENTLEY" link --&gt; Click on User symbol(PROFILE) )</t>
  </si>
  <si>
    <t>Under Demo mode 'PROFILE' screen :
1. Observe the Demo mode 'PROFILE' screen's text, images, icons &amp; tabs.</t>
  </si>
  <si>
    <t>* Demo mode - 'PROFILE' screen :
1. The screen should display like the actual logged account 'PROFILE' screen.
2. All  the below information  must be clear to the user
a. Screen Title : PROFILE 
b. User icon
c. User name
d. My Details tab
e. Account tab
f. General tab
g. Gear / Setting icon</t>
  </si>
  <si>
    <t>Verify Demo mode 'PROFILE - SETTINGS' screen and its content</t>
  </si>
  <si>
    <t>Under Demo mode 'PROFILE' screen :
1. Click on Gear/Settings icon.
2. Observe the settings screen's text &amp; tabs.</t>
  </si>
  <si>
    <t>* Demo mode - 'PROFILE - SETTINGS' screen :
1. The screen should display like the actual logged account 'PROFILE - SETTINGS' screen.
2. All  the below information  must be clear to the user
a. Screen title: SETTINGS
b. User tracking
c. Consent for Google Maps
d. Units
e. Permissions
f. Last mile notification enable / disable toggle.</t>
  </si>
  <si>
    <t>Verify Demo mode 'DASHBOARD - ADD A VEHICLE' screen and its content</t>
  </si>
  <si>
    <t>• Demo mode "DASHBOARD - ADD A VEHICLE" screen is in focus 
( Open My Bentley App --&gt;Click on "DISCOVER MY BENTLEY" link --&gt; Click on right side arrow to reach the last page )</t>
  </si>
  <si>
    <t>Under Demo mode 'DASHBOARD - ADD A VEHICLE' screen :
1. Observe the 'DASHBOARD - ADD A VEHICLE' screen's text, icon &amp; buttons.</t>
  </si>
  <si>
    <t>* Demo mode - 'DASHBOARD - ADD A VEHICLE' screen :
1. The screen should display like the actual logged account 'DASHBOARD - ADD A VEHICLE' screen.
2. All  the below information  must be clear to the user
a. Screen title: DASHBOARD
b. Sub title to the left below vehicle image: ADD VEHICLE
c. 1. Your VIN
d. Information 'i' icon : Clicking on it launches information related to 'Locating your VIN'
e. 2. Your preffered Bentley retailer
f. ADD A VEHICLE button</t>
  </si>
  <si>
    <t>Verify all the screen with Bentley style guide.</t>
  </si>
  <si>
    <t>• Any demo screen is in focus  
( Open My Bentley App -- &gt;Click on "DISCOVER MY BENTLEY" link )</t>
  </si>
  <si>
    <t>Observe all the screen's icon, font, colour</t>
  </si>
  <si>
    <t>All the icon, font, colour should be followed as per Bentley style guide.</t>
  </si>
  <si>
    <t xml:space="preserve">Verification of 'Log out' </t>
  </si>
  <si>
    <t>• General screen is in focus  
( Open My Bentley App -- &gt;Click on "DISCOVER MY BENTLEY" link -- &gt; User Profile icon --&gt; General )</t>
  </si>
  <si>
    <t>Click on 'Log out' text.</t>
  </si>
  <si>
    <t>1. The Demo mode exit successfully.
2. The screen should back to Sign in/Signup page.</t>
  </si>
  <si>
    <t>Closing the 'Demo mode'</t>
  </si>
  <si>
    <t>• Any demo screen is in focus  
( Open My Bentley App -- &gt; Click on "DISCOVER MY BENTLEY" link )</t>
  </si>
  <si>
    <t>Click on 'Demo mode' pop up X mark top right corner.</t>
  </si>
  <si>
    <t>• N/A</t>
  </si>
  <si>
    <t>Customer Enrollment</t>
  </si>
  <si>
    <t>Precondition</t>
  </si>
  <si>
    <t xml:space="preserve">Ensure that below preconditions are met before start the testing for this service
• Vehicle is connected to network 
• Primary registration process is not done from vehicle side.
• “My Bentley in Car Services' and 'My Bentley Remote Services' license is valid and in use
• Please set these for My Bentley Development App when testing on ODP setup : Under 'BACKEND &amp; MOCK DATA' screen(Launch My Bentley App &amp; Tap for 6 times)
                       1. Set 'MSG Deployment' = 'APP(Approval)' / 'LIVE(Live)' 
                       2. Set 'Support ODP / invocation URLs' = 'Enable(ODP)'
                       3. Set 'Login Method' = 'idk(IDK - Solution)' / 'ping(PING - Solution)'  </t>
  </si>
  <si>
    <t>No Of Observation</t>
  </si>
  <si>
    <t>EUR, NAR</t>
  </si>
  <si>
    <t>Verify the Bentley Customer Enrolment Process via Correct FPIN</t>
  </si>
  <si>
    <t>• Log-In to My Bentley App credentials available
• Privacy Mode is disabed in the vehicle HMI</t>
  </si>
  <si>
    <t>• No user has ever generated a vehicle code for this VIN</t>
  </si>
  <si>
    <t xml:space="preserve">Bentley ID Registration Page Process via Correct FPIN : 
* [Log In to Bentley ID] : 
1. Log In to Bentley ID with valid credentials
( My Bentley App --&gt; Email or Phone Number --&gt; Enter valid email id --&gt; NEXT --&gt; Enter the Password --&gt; NEXT )
* [PRIMARY USER NOMINATION - VEHICLE] : 
2. In Vehicle HMI --&gt; Settings --&gt; Users --&gt; 'Set Primary User' --&gt; Enter User Name(Bentley Account ID) and FPIN(i.e. Present in Scratch Tag) --&gt; Click on 'Set Primary User'
* [CHECK MY BENTLEY APP REMOTE SERVICES] : 
3. Now go to My Bentley App and try to perform
a. Vehicle Status Refresh (Ex : Door , Window ....etc. status)
b. Remote Lock / Unlock </t>
  </si>
  <si>
    <t>* [Log In to Bentley ID] : 
1a. Log In to Bentley ID should be successfull and focus is in vehicle DASHBOARD screen
1b. The My Bentley app displays the vehicle information, but services are disabled because the user is not Primary User
* [PRIMARY USER NOMINATION - VEHICLE] : 
2. Primary User Nomination should be successfully set with a confirmation message.
* [CHECK MY BENTLEY APP REMOTE SERVICES] : 
3. All My Bentley App Remote Services should work as expected</t>
  </si>
  <si>
    <t>Verify the Bentley Customer Enrolment Process via Incorrect FPIN</t>
  </si>
  <si>
    <t xml:space="preserve">• Log-In to My Bentley App credentials available
• Privacy Mode is disabed in the vehicle HMI
</t>
  </si>
  <si>
    <t>• User has a VIN linked to their account with no Primary User nominated
• No user has ever generated a vehicle code for this VIN</t>
  </si>
  <si>
    <t>Bentley ID Registration Page Process via Correct FPIN : 
* [Log In to Bentley ID] : 
1. Log In to Bentley ID with valid credentials
( My Bentley App --&gt; Email or Phone Number --&gt; Enter valid email id --&gt; NEXT --&gt; Enter the Password --&gt; NEXT )
* [PRIMARY USER NOMINATION - VEHICLE] : 
2. In Vehicle HMI --&gt; Settings --&gt; Users --&gt; 'Set Primary User' --&gt; Enter User Name(Bentley Account ID) and Incorrect FPIN(i.e. Not Present in Scratch Tag) --&gt; Click on 'Set Primary User'
* [CHECK MY BENTLEY APP REMOTE SERVICES] : 
3. Now go to My Bentley App and Refresh the My Bentley app dashboard to display the latest status for this VIN</t>
  </si>
  <si>
    <t>* [Log In to Bentley ID] : 
1a. Log In to Bentley ID should be successfull and focus is in vehicle DASHBOARD screen
1b. The My Bentley app displays the vehicle information, but services are disabled because the user is not Primary User
* [PRIMARY USER NOMINATION - VEHICLE] : 
2. The vehicle HMI shows the failure of the Primary User Nomination operation, and the number of remaining attempts; this should be 10 on the first failure
* [CHECK MY BENTLEY APP REMOTE SERVICES] : 
3. The My Bentley app displays the vehicle information, but services are disabled because the user is not Primary User</t>
  </si>
  <si>
    <t>Verify 'SET YOUR PRIMARY USER' section in DASHBOARD screen of My Bentley App</t>
  </si>
  <si>
    <t>• Logged in to My Bentley App with valid credentials
• Focus is in vehicle "DASHBOARD" screen of My Bentley App
• Privacy Mode is disabed in the vehicle HMI</t>
  </si>
  <si>
    <t>• Vehicle already added in My Bentley App
• User has a VIN linked to their account with no Primary User nominated
• User has not generated a vehicle code for this VIN</t>
  </si>
  <si>
    <t>1. Verify 'SET YOUR PRIMARY USER' section in 'DASHBOARD' screen of My Bentley App</t>
  </si>
  <si>
    <t>1. In DASHBOARD Screen, Under 'SET YOUR PRIMARY USER' section 
a. Section Title : SET YOUR PRIMARY USER
b. Text : 'To set yourself as a primary user, a vehicle code will be generated in the next step. - Please confirm it in your Bentley infotainment system
c. 'GENERATE VEHICLE CODE' button
d. 'Information - i'(icon) - Clicking on it should display the instructions on how to set a primary user for a specific Bentley vehicle model and infotainment system</t>
  </si>
  <si>
    <t>Verify generating vehicle code in new Bentley Customer Enrolment Process</t>
  </si>
  <si>
    <t xml:space="preserve">1. Under 'SET YOUR PRIMARY USER' section in 'DASHBOARD' screen of My Bentley App, Click on 'GENERATE VEHICLE CODE' button
2. Click on 'Generate vehicle code' on the confirmation message 
</t>
  </si>
  <si>
    <t>1. Clicking on 'GENERATE VEHICLE CODE' button displays similar kind of confirmation message stating
Confirmation Text : The vehicle code on the scratch tag will be invalidated - The vehicle code generated in My Bentley app will invalidate the 10-digit vehicle code on the scratch tag of the vehicle keys with 'Generate vehicle code' &amp; 'Cancel' buttons
2. Clicking on 'GENERATE VEHICLE CODE' button should display the 10-digit vehicle code within 10 seconds which can be further used for Primary User Validation in vehicle Bentley's infotainment system</t>
  </si>
  <si>
    <t>Verify 'VIEW VEHICLE CODE' button display for Bentley Customer Enrolment if the code is already generated</t>
  </si>
  <si>
    <t xml:space="preserve">• Logged in to My Bentley App with valid credentials
• Focus is in vehicle "DASHBOARD" screen of My Bentley App
• Privacy Mode is disabed in the vehicle HMI
</t>
  </si>
  <si>
    <t>• Vehicle already added in My Bentley App
• User has a VIN linked to their account with no Primary User nominated
• User has generated a vehicle code for this VIN</t>
  </si>
  <si>
    <t>1. Refresh the My Bentley app dashboard to display the latest status for this VIN
2. Check for 'VIEW VEHICLE CODE' button on the dashboard screen under 'SET PRIMARY USER' section</t>
  </si>
  <si>
    <t>1a. The My Bentley app displays the vehicle information, but services are disabled because the user is not Primary User
2. The button 'VIEW VEHICLE CODE' is shown on the dashboard
Note : Clicking on 'VIEW VEHICLE CODE' button should display the Vehicle Code within 5 seconds</t>
  </si>
  <si>
    <t>Verify 'GENERATE VEHICLE CODE' button when there is no network</t>
  </si>
  <si>
    <t>1. Enable Flight Mode in mobile where 'My Bentley App' is installed
2. Under 'SET YOUR PRIMARY USER' section in 'DASHBOARD' screen of My Bentley App, Validate 'GENERATE VEHICLE CODE' button</t>
  </si>
  <si>
    <t xml:space="preserve">1. Flight Mode / No network is activated in mobile where 'My Bentley App' is installed
2. In DASHBOARD Screen, Under 'SET YOUR PRIMARY USER' section 
a. Section Title : SET YOUR PRIMARY USER
b. Generic - Informatory Text : 'To set yourself as a primary user, a vehicle code will be generated in the next step. - Please confirm it in your Bentley infotainment system
c. 'GENERATE VEHICLE CODE' button 
d. Clicking on 'GENERATE VEHICLE CODE' button should display relevant error message(Ex : No Internet data) </t>
  </si>
  <si>
    <t>Verify new Bentley Customer Enrolment Process via correct vehicle code</t>
  </si>
  <si>
    <t>1. Refresh the My Bentley app dashboard to display the latest status for this VIN
2. Tap on the 'VIEW VEHICLE CODE' button
3. On the vehicle HMI, navigate to the Primary User Nomination page
4. Enter the email address and the vehicle code displayed in the app and trigger Primary User nomination
5. Refresh the My Bentley app dashboard to display the latest status for this VIN</t>
  </si>
  <si>
    <t>1a. The My Bentley app displays the vehicle information, but services are disabled because the user is not Primary User
1b. The button 'VIEW VEHICLE CODE' is shown on the dashboard
2. Within 5 seconds, a window displaying the Vehicle Code is loaded
3. Primary User Nomination page is launched with input fields 'Email' &amp; 'vehicle code'
4. The vehicle HMI shows the successfull outcome of the Primary User Nomination operation
5. The My Bentley app shows the vehicle and remote services are available</t>
  </si>
  <si>
    <t>Medium</t>
  </si>
  <si>
    <t>Verify new Bentley Customer Enrolment Process via incorrect vehicle code</t>
  </si>
  <si>
    <t>1. Refresh the My Bentley app dashboard to display the latest status for this VIN
2. On the vehicle HMI, navigate to the Primary User Nomination page
3. Enter the email address and the incorrect vehicle code and trigger Primary User nomination
4. Refresh the My Bentley app dashboard to display the latest status for this VIN</t>
  </si>
  <si>
    <t>1a. The My Bentley app displays the vehicle information, but services are disabled because the user is not Primary User
2. Primary User Nomination page is launched with input fields 'Email' &amp; 'vehicle code'
3. The vehicle HMI shows the failure of the Primary User Nomination operation, and the number of remaining attempts; this should be 10 on the first failure
4. The My Bentley app displays the vehicle information, but services are disabled because the user is not Primary User</t>
  </si>
  <si>
    <t>Verify new Bentley Customer Enrolment Process via incorrect vehicle code for 10 times</t>
  </si>
  <si>
    <t>1. Refresh the My Bentley app dashboard to display the latest status for this VIN
2. On the vehicle HMI, navigate to the Primary User Nomination page
3. Enter the email address and the incorrect Vehicle vehicle code for 10 times and trigger Primary User nomination</t>
  </si>
  <si>
    <t>1a. The My Bentley app displays the vehicle information, but services are disabled because the user is not Primary User
2. Primary User Nomination page is launched with input fields 'Email' &amp; 'vehicle code'
3. The Primary User Nomination should be blocked after 10 failures</t>
  </si>
  <si>
    <t>Verify force closing of My Bentley App while vehicle code generation for Customer Enrolment Process in progress</t>
  </si>
  <si>
    <t>• Logged in to My Bentley App with valid credentials
• Focus is in vehicle "DASHBOARD" screen of My Bentley App</t>
  </si>
  <si>
    <t>1. Under 'SET YOUR PRIMARY USER' section in 'DASHBOARD' screen of My Bentley App, Click on 'GENERATE VEHICLE CODE' button
2. While vehicle code generation for Customer Enrolment Process in progress - Force Close the My Bentley App
3. Open and Log-In My Bentley App
4. Refresh the My Bentley app dashboard to display the latest status for this VIN</t>
  </si>
  <si>
    <t>1. Clicking on the 'GENERATE VEHICLE CODE' button should start generating vehicle code
2. My Bentley App should be force closed
3. Login to My Bentley App is successful and focus is in 'DASHBOARD' screen
4a. The My Bentley app displays the vehicle information, but services are disabled because the user is not Primary User
4b. The button 'VIEW VEHICLE CODE' is shown on the dashboard if the code is already generated(i.e. Via My Bentley App Backend Code Generation Process) before force closing of My Bentley App or 'GENERATE VEHICLE CODE' button should be displayed
Note : 
1. Clicking on 'GENERATE VEHICLE CODE' button displays vehicle code generation confirmation message along with 'Generate vehicle code' &amp; 'Cancel' buttons
2. Clicking on 'GENERATE VEHICLE CODE' button should display the 10-digit vehicle code within 10 seconds which can be further used for Primary User Validation in vehicle Bentley's infotainment system</t>
  </si>
  <si>
    <t>Verify turning off mobile while vehicle code generation for Customer Enrolment Process in progress</t>
  </si>
  <si>
    <t>1. Under 'SET YOUR PRIMARY USER' section in 'DASHBOARD' screen of My Bentley App, Click on 'GENERATE VEHICLE CODE' button
2. While vehicle code generation for Customer Enrolment Process in progress
a. Turn Off the Mobile Device
3. Turn On the Mobile Device &amp; Open My Bentley App
4. Refresh the My Bentley app dashboard to display the latest status for this VIN</t>
  </si>
  <si>
    <t>1. Clicking on the 'GENERATE VEHICLE CODE' button should start generating vehicle code
2. Mobile Device is turned off
3. My Bentley App should be launched and focus is in 'DASHBOARD' screen
4a. The My Bentley app displays the vehicle information, but services are disabled because the user is not Primary User
4b. The button 'VIEW VEHICLE CODE' is shown on the dashboard if the code is already generated(i.e. Via My Bentley App Backend Code Generation Process) before the mobile is turned Off or 'GENERATE VEHICLE CODE' button should be displayed
Note : 
1. Clicking on 'GENERATE VEHICLE CODE' button displays vehicle code generation confirmation message along with 'Generate vehicle code' &amp; 'Cancel' buttons
2. Clicking on 'GENERATE VEHICLE CODE' button should display the 10-digit vehicle code within 10 seconds which can be further used for Primary User Validation in vehicle Bentley's infotainment system</t>
  </si>
  <si>
    <t>Verify interruptions while vehicle code generation for Customer Enrolment Process in progress</t>
  </si>
  <si>
    <t>1. Under 'SET YOUR PRIMARY USER' section in 'DASHBOARD' screen of My Bentley App, Click on 'GENERATE VEHICLE CODE' button
2. While vehicle code generation for Customer Enrolment Process in progress
a. Interruptions : Receive an incoming call / SMS / Alarm Plays ...etc.
3. Refresh the My Bentley app dashboard to display the latest status for this VIN after the interruption and check whether the vehicle code is generated</t>
  </si>
  <si>
    <t>1. Clicking on the 'GENERATE VEHICLE CODE' button should start generating vehicle code
2. Incoming Call / SMS / Alarm Play is received during Vehicle Code generation is ongoing
3a. The My Bentley app displays the vehicle information, but services are disabled because the user is not Primary User
3b. The button 'VIEW VEHICLE CODE' is shown on the dashboard if the code is already generated(i.e. Via My Bentley App Backend Code Generation Process) before the Call / Alarm Interruption or 'GENERATE VEHICLE CODE' button should be displayed
Note : 
1. Clicking on 'GENERATE VEHICLE CODE' button displays vehicle code generation confirmation message along with 'Generate vehicle code' &amp; 'Cancel' buttons
2. Clicking on 'GENERATE VEHICLE CODE' button should display the 10-digit vehicle code within 10 seconds which can be further used for Primary User Validation in vehicle Bentley's infotainment system</t>
  </si>
  <si>
    <t>Verify 'VIEW VEHICLE CODE' button displayed under 'SET PRIMARY USER' section in 'DASHBOARD' screen of My Bentley App when Primary User is removed from Vehicle Bentley's infotainment system [ My Bentley App = Not Logged In]</t>
  </si>
  <si>
    <t>• Log in credentials to My Bentley App available
• Privacy Mode is disabed in the vehicle HMI</t>
  </si>
  <si>
    <t>• Not logged in to My Bentley App
• Vehicle already added in My Bentley App
• User has a VIN linked to their account with Primary User nominated</t>
  </si>
  <si>
    <t xml:space="preserve">1. In Vehicle Bentley's infotainment system, Remove the Primary User
(In HMI --&gt; Settings --&gt; Users --&gt; Select the Primary User --&gt; Click on Gear Icon --&gt; 'Remove Primary User')
2. Log-In to 'My Bentley' App with valid credentials
3. Now check whether 'SET YOUR PRIMARY USER' section along with 'VIEW VEHICLE CODE' button displayed in 'DASHBOARD' screen of My Bentley App 
</t>
  </si>
  <si>
    <t>1. Primary User should be successfully deleted on vehicle Bentley's infotainment system
2. 'My Bentley' App should be launched and focus is on DASHBOARD screen
3. 'SET YOUR PRIMARY USER' section along with 'VIEW VEHICLE CODE' button should be displayed under 'DASHBOARD' screen of My Bentley App 
Note : 
1. Clicking on 'VIEW VEHICLE CODE' button displays vehicle code which can be further used for Primary User Validation in vehicle Bentley's infotainment system</t>
  </si>
  <si>
    <t>Verify 'VIEW VEHICLE CODE' button displayed under 'SET PRIMARY USER' section in 'DASHBOARD' screen of My Bentley App when Primary User is removed from Vehicle Bentley's infotainment system [ My Bentley App = Already Logged In]</t>
  </si>
  <si>
    <t>• Vehicle already added in My Bentley App
• User has a VIN linked to their account with Primary User nominated</t>
  </si>
  <si>
    <t xml:space="preserve">1. In Vehicle Bentley's infotainment system, Remove the Primary User
(In HMI --&gt; Settings --&gt; Users --&gt; Select the Primary User --&gt; Click on Gear Icon --&gt; 'Remove Primary User')
2. Now go to 'My Bentley' App which is already logged in
3.  Perform an Vehicle Status refresh
4. Now check whether 'SET YOUR PRIMARY USER' section along with 'VIEW VEHICLE CODE' button displayed in 'DASHBOARD' screen of My Bentley App </t>
  </si>
  <si>
    <t>1. Primary User should be successfully deleted on vehicle Bentley's infotainment system
2. 'My Bentley' App should be launched and focus is on DASHBOARD screen
3. Vehicle Status refresh is done
4. 'SET YOUR PRIMARY USER' section along with 'VIEW VEHICLE CODE' button should be displayed under 'DASHBOARD' screen of My Bentley App 
Note : 
1. Clicking on 'VIEW VEHICLE CODE' button displays vehicle code which can be further used for Primary User Validation in vehicle Bentley's infotainment system</t>
  </si>
  <si>
    <t>Verify Bentley Customer Enrolment via vehicle code - PU exists (has remote access) - [Multiple Users]</t>
  </si>
  <si>
    <t>• User 1 is logged in to My Bentley account
• Privacy Mode is disabed in the vehicle HMI</t>
  </si>
  <si>
    <t>• User 1 (the account logged) in has a VIN linked to their account and another user (User 2) is already Primary User</t>
  </si>
  <si>
    <t>1. User 2 : Refresh the My Bentley app dashboard to display the latest status for this VIN
2. User 1 : Refresh the My Bentley app dashboard to display the latest status for this VIN
3. User 1 : Tap on 'Contact Support'</t>
  </si>
  <si>
    <t>User 2 : 
1. The My Bentley app shows the vehicle and remote services are available
User 1 : 
2a. The My Bentley app displays the vehicle information, but services are disabled because the user is not Primary User
2b. Message is shown on the dashboard stating 'Primary User Already Set'
User 1 : 
3. User is prompted to call the B4C</t>
  </si>
  <si>
    <t>Verify Bentley Customer Enrolment via vehicle code - PU exists (has renounced remote access via vehicle HMI) - [Multiple Users]</t>
  </si>
  <si>
    <t>1. User 2 : Refresh the My Bentley app dashboard to display the latest status for this VIN
2. On the vehicle HMI, navigate to the Primary User Nomination page and select 'Revoke Primary User'
3. User 2 : Refresh the My Bentley app dashboard to display the latest status for this VIN
4. User 2 : In Vehicle, Renominate the Primary User to User 2
5. User 1 : Refresh the My Bentley app dashboard to display the latest status for this VIN</t>
  </si>
  <si>
    <t>User 2 :
1. The My Bentley app shows the vehicle and remote services are available
2.  The Primary User is revoked
User 2 :
3a. The My Bentley app displays the vehicle information, but services are disabled because the user has no remote access
3b. The button 'VIEW VEHICLE CODE' is shown on the dashboard
User 2 :
4. User 2 is currently the 'Primary User'
User 1 :
5a. The My Bentley app displays the vehicle information, but services are disabled because the user is not Primary User
5b. Message is shown on the dashboard stating 'Primary User Already Set'</t>
  </si>
  <si>
    <t>Verify Bentley Customer Enrolment via vehicle code - PU exists but deletes VIN (via app) - [Single User]</t>
  </si>
  <si>
    <t>1. Refresh the My Bentley app dashboard to display the latest status for this VIN
2. Tap on the 'VIEW VEHICLE CODE' button
3. In the app, delete the VIN from the user account
4. Add the VIN once again to the user account
5. Refresh the My Bentley app dashboard to display the latest status for this VIN</t>
  </si>
  <si>
    <t xml:space="preserve">1a. The My Bentley app displays the vehicle information, but services are disabled because the user is not Primary User
2. The button 'VIEW VEHICLE CODE' is shown on the dashboard
3. Vehicle is no longer shown on the dashboard
4. The VIN is successfully added to the user account
5a. The My Bentley app displays the vehicle information, but services are disabled because the user is not Primary User
5b. The button 'GENERATE VEHICLE CODE' is shown on the dashboard
</t>
  </si>
  <si>
    <t>Verify Bentley Customer Enrolment via vehicle code - PU exists but deletes VIN (via app) - [Multiple Users]</t>
  </si>
  <si>
    <t>1. User 2 : Refresh the My Bentley app dashboard to display the latest status for this VIN
2. User 1 : Refresh the My Bentley app dashboard to display the latest status for this VIN
3. User 2 : In the app, delete the VIN from the user account
4. User 1 : Refresh the My Bentley app dashboard to display the latest status for this VIN</t>
  </si>
  <si>
    <t>User 2 :
1. The My Bentley app shows the vehicle and remote services are available
User 1 :
2a. The My Bentley app displays the vehicle information, but services are disabled because the user is not Primary User
2b. Message is shown on the dashboard stating 'Primary User Already Set'
User 2 :
3. Vehicle is no longer shown on the dashboard
User 1 :
4a. The My Bentley app displays the vehicle information, but services are disabled because the user is not Primary User
4b. The button 'GENERATE VEHICLE CODE' is shown on the dashboard</t>
  </si>
  <si>
    <t>Verify Bentley Customer Enrolment via vehicle code - PU exists but deletes app from mobile device - [Multiple Users]</t>
  </si>
  <si>
    <t>1. User 2 : Refresh the My Bentley app dashboard to display the latest status for this VIN
2. User 1 : Refresh the My Bentley app dashboard to display the latest status for this VIN
3. User 2 : Uninstall the My Bentley app from your phone
4. User 1 : Refresh the My Bentley app dashboard to display the latest status for this VIN</t>
  </si>
  <si>
    <t>User 2 : 
1. The My Bentley app shows the vehicle and remote services are available
User 1 :
2a. The My Bentley app displays the vehicle information, but services are disabled because the user is not Primary User
2b. Message is shown on the dashboard stating 'Primary User Already Set'
User 2 :
3. My Bentley app is uninstalled in User 2
User 1 :
4a. The My Bentley app displays the vehicle information, but services are disabled because the user is not Primary User
4b. Message is shown on the dashboard stating 'Primary User Already Set'</t>
  </si>
  <si>
    <t>Verify Bentley Customer Enrolment via vehicle code - How-to</t>
  </si>
  <si>
    <t>• User is logged in to My Bentley account
• Privacy Mode is disabed in the vehicle HMI</t>
  </si>
  <si>
    <t>• User has a VIN linked to their account with no Primary User nominated
• User has generated a vehicle code for this VIN</t>
  </si>
  <si>
    <t>1. Refresh the My Bentley app dashboard to display the latest status for this VIN
2. Tap on the 'VIEW VEHICLE CODE' button
3. Tap on the 'information i' icon</t>
  </si>
  <si>
    <t>1a. The My Bentley app displays the vehicle information, but services are disabled because the user is not Primary User
1b. The button 'VIEW VEHICLE CODE' is shown on the dashboard
2. A window displaying the Vehicle Code is loaded, with the text 'How to set a Primary User in your Bentley' and an 'information' icon
3. The instructions related on how to set a primary user for a specific Bentley vehicle model and infotainment system should be displayed correctly</t>
  </si>
  <si>
    <t>Verify 'VIEW VEHICLE CODE' button display for Bentley Customer Enrolment when user logout from IOS and login on Android or viceversa</t>
  </si>
  <si>
    <t>• Focus is in vehicle "DASHBOARD" screen of My Bentley App
• Privacy Mode is disabed in the vehicle HMI</t>
  </si>
  <si>
    <t>• Logged in to My Bentley App with valid credentials on IOS Mobile Device
• Vehicle already added in My Bentley App
• User has a VIN linked to their account with no Primary User nominated
• User has generated a vehicle code for this VIN
• Android Mobile Device is available for testing with latest My Bentley App installed in it</t>
  </si>
  <si>
    <t>IOS Mobile Device : 
1. Refresh the My Bentley app dashboard to display the latest status for this VIN
2. Check for 'VIEW VEHICLE CODE' button on the dashboard screen under 'SET PRIMARY USER' section
ANDROID Mobile Device : 
3. Launch My Bentley App and log in with valid credentials(i.e. the same credentials used in IOS) 
4. Check for 'VIEW VEHICLE CODE' button on the dashboard screen under 'SET PRIMARY USER' section</t>
  </si>
  <si>
    <t>IOS Mobile Device : 
1. The My Bentley app displays the vehicle information, but services are disabled because the user is not Primary User
2. The button 'VIEW VEHICLE CODE' is shown on the dashboard
Note : Clicking on 'VIEW VEHICLE CODE' button should display the Vehicle Code within 5 seconds
ANDROID Mobile Device : 
3. The My Bentley app displays the vehicle information, but services are disabled because the user is not Primary User 
4. The button 'VIEW VEHICLE CODE' is shown on the dashboard
Note : Clicking on 'VIEW VEHICLE CODE' button should display the Vehicle Code within 5 seconds</t>
  </si>
  <si>
    <t>Verify validating the vehicle code displayed is identical in different platform of mobile devices</t>
  </si>
  <si>
    <t>IOS Mobile Device : 
1. Refresh the My Bentley app dashboard to display the latest status for this VIN
2. Check for 'VIEW VEHICLE CODE' button on the dashboard screen under 'SET PRIMARY USER' section
3. Click on 'VIEW VEHICLE CODE' button
ANDROID Mobile Device : 
4. Launch My Bentley App and log in with valid credentials(i.e. the same credentials used in IOS) 
5. Check for 'VIEW VEHICLE CODE' button on the dashboard screen under 'SET PRIMARY USER' section
6. Click on 'VIEW VEHICLE CODE' button
7. Check whether the vehicle code displayed on IOS &amp; Android platform mobile devices are identical</t>
  </si>
  <si>
    <t>IOS Mobile Device : 
1. The My Bentley app displays the vehicle information, but services are disabled because the user is not Primary User
2. The button 'VIEW VEHICLE CODE' is shown on the dashboard
3. Clicking on 'VIEW VEHICLE CODE' button should display the Vehicle Code within 5 seconds
ANDROID Mobile Device : 
4. The My Bentley app displays the vehicle information, but services are disabled because the user is not Primary User 
5. The button 'VIEW VEHICLE CODE' is shown on the dashboard
6. Clicking on 'VIEW VEHICLE CODE' button should display the Vehicle Code within 5 seconds
7. The vehicle code displayed should be identical on both IOS &amp; Android platform of mobile devices</t>
  </si>
  <si>
    <t>Verify the new Bentley Customer Enrolment Process via vehicle code</t>
  </si>
  <si>
    <t>• Privacy Mode is disabed in the vehicle HMI</t>
  </si>
  <si>
    <t xml:space="preserve">• No user has ever generated a vehicle code for this VIN
</t>
  </si>
  <si>
    <t xml:space="preserve">Bentley ID Registration Page Process : 
* [Registering to Bentley ID] :  
1. Check whether Customer able to sign up for Bentley ID - IDK Solution without any issues
( My Bentley App(IDK Solution) --&gt; SIGN UP --&gt; Email (Enter Valid Email) / Phone Number (Enter Valid Phone Number)  --&gt; Create Account --&gt; NEXT --&gt; Enter Password which matches criteria --&gt; CREATE --&gt; Accept Terms i.e.  Check 'Terms of Use' &amp; 'Privacy Policy' --&gt; RETURN TO LOGIN )
* [Log In to Bentley ID] : 
2. Check for Log In to Bentley ID with valid credentials after successfull sign up
( My Bentley App(IDK Solution) --&gt; Email or Phone Number --&gt; Enter valid email id --&gt; NEXT --&gt; Enter the Password --&gt; NEXT )
* [Adding VIN] : 
3a. ( My Bentley App --&gt; SIGN UP --&gt; Enter valid Email Address --&gt; NEXT --&gt;  Create a Password in CREATE ACCOUNT page --&gt; CREATE --&gt; ACCEPT (Privacy Policy &amp; Terms Of Use) --&gt; OPEN MAIL APP --&gt; Validate the Email ID --&gt; Back to My Bentley App --&gt; Login with Valid Credentials --&gt; ACCEPT(My Bentley Terms and Privacy) --&gt; ADD A VEHICLE --&gt; Manually add the VIN under 'Enter VIN manually' section --&gt; Select 'Retailer' under 'Your Bentley Retailer' section --&gt; CONTINUE / CONFIRM --&gt;  Add 'PERSONAL DATA' - First name , Last name --&gt; CONTINUE / CONFIRM --&gt; Select 'Location'(Ex : United Kingdom) --&gt; Add 'ADDRESS'- Building , House Number , Street , City , Postal Code , Country --&gt; CONTINUE / CONFIRM --&gt; Add 'Mobile Number' by selecting valid 'Area Code' &amp; 'Mobile Phone' --&gt; CONTINUE / CONFIRM --&gt; Vehicle Request to add the VIN should be sent successfully(Confirmation Msg : Request Submitted - Your vehicle request has been submitted.This will now be processed and could take up to 2 working days.) --&gt; Logout from App --&gt; Re-Login to App --&gt; Go to vehicle DASHBOARD screen )  
3b. After successfull confirmation of VIN validation from Bentley Contact Centre, Check whether the VIN / Vehicle is seen in My Bentley App ) 
* [SET YOUR SPIN] :  
In DASHBOARD Screen, Under 'SET YOUR SPIN' section --&gt; Click on 'SET MY SPIN' button and set 4 digit pin
* [GENERATE vehicle code] :  
5a. In DASHBOARD Screen, Under 'SET YOUR PRIMARY USER' section --&gt; Click on 'GENERATE VEHICLE CODE' button
5b. Click on 'Generate vehicle code' on the confirmation message 
* [PRIMARY USER NOMINATION - VEHICLE] : 
6. In Vehicle HMI --&gt; Settings --&gt; Users --&gt; 'Set Primary User' --&gt; Enter User Name(Bentley Account ID) and vehicle code(i.e. Generated via My Bentley App) --&gt; Click on 'Set Primary User'
* [CHECK MY BENTLEY APP REMOTE SERVICES] : 
7. Now go to My Bentley App and try to perform
a. Vehicle Status Refresh (Ex : Door , Window ....etc. status)
b. Remote Lock / Unlock </t>
  </si>
  <si>
    <t>* [Registering to Bentley ID] :
1. Customer should be able to successfully sign up for Bentley ID - IDK Solution
* [Log In to Bentley ID] : 
2. Log In to Bentley ID should be successfull
* [Adding VIN] : 
3a. The customer should be able to see the Pending Validation Msg on 'DASHBOARD' screen of My Bentley App after successfull submission of adding VIN request sent
Pending Validation Title : Waiting for Validation
Pending Validation Msg : Your Bentley ownership is being validated by our customer support team.This can take up to 48 hours - Once your Bentley has been validated, your next steps will be in  (3 - Set your SPIN ; 4 - Set your Primary User + infomatory i-icon)
3b. After successfull validation of VIN from Bentley Contact Centre : The vehicle should be added to the respective Bentley ID successfully and should be displayed in DASHBOARD screen
* [Set Your SPIN] : 
4. 4-Digit SPIN should be set successfully
* [GENERATE vehicle code] :
5a. Clicking on 'GENERATE VEHICLE CODE' button displays similar kind of confirmation message stating
Text : The vehicle code on the scratch tag will be invalidated - The vehicle code generated in My Bentley app will invalidate the 10-digit vehicle code on the scratch tag of the vehicle keys with 'Generate vehicle code' &amp; 'Cancel' buttons
5b. Clicking on 'GENERATE VEHICLE CODE' button should display the 10-digit vehicle code within 10 seconds which can be further used for Primary User Validation in vehicle Bentley's infotainment system
* [PRIMARY USER NOMINATION - VEHICLE] : 
6. Primary User Nomination should be successfully set with a confirmation message.
* [CHECK MY BENTLEY APP REMOTE SERVICES] : 
7. All My Bentley App Remote Services should work as expected</t>
  </si>
  <si>
    <t>CHN</t>
  </si>
  <si>
    <t>Verify the Customer Enrolment Process if RNR is unsuccessfull for a new Bentley Account</t>
  </si>
  <si>
    <t>• No Bentley User set up
• RNR check not approved by CCAT</t>
  </si>
  <si>
    <t xml:space="preserve">* [Registering to Bentley ID + Adding VIN] :  
1. Add the VIN after logging in to My Bentley App
(My Bentley App --&gt; LOGIN OR REGISTER --&gt; Enter valid Email Address --&gt; NEXT --&gt;  Create a Password in CREATE ACCOUNT page --&gt; CREATE --&gt; ACCEPT (Privacy Policy &amp; Terms Of Use) --&gt; OPEN MAIL APP --&gt; Validate the Email ID --&gt; Back to My Bentley App --&gt; Login with Valid Credentials --&gt; ACCEPT(My Bentley Terms and Privacy) --&gt; ADD A VEHICLE --&gt; Manually add the VIN under 'Enter VIN manually' section --&gt; CONFIRM --&gt;  Select 'Retailer' under 'Your Bentley Retailer' section --&gt; CONFIRM --&gt; CONTINUE --&gt;  Add 'PERSONAL DATA' - First name , Last name --&gt; CONTINUE --&gt; Select 'Location'(Ex : United Kingdom) --&gt; Add 'ADDRESS'- Building , House Number , Street , City , Postal Code , Country --&gt; CONTINUE --&gt; Add 'Mobile Number' by selecting valid 'Area Code' &amp; 'Mobile Phone' --&gt; CONTINUE --&gt; Vehicle Request to add the VIN should be submitted successfully --&gt; CONTINUE)  </t>
  </si>
  <si>
    <t>* [Registering to Bentley ID + Adding VIN] :
1a. If RNR check is not approved or failure, An informatory message such as 'Registration failed / Unsuccessfull - An error as ocurred. Please try again. If the error persists, please contact customer service' should be displayed in My Bentley App along with 'CONTINUE' button
1b. Clicking on 'CONTINUE' button takes screen focus to 'ADD A VEHICLE' screen
Note : VIN / Vehicle should not be added to Bentley Account if RNR check has failed</t>
  </si>
  <si>
    <t>Verify the Customer Enrolment Process if RNR is successful for a new Bentley Account</t>
  </si>
  <si>
    <t>• No Bentley User set up
• RNR check approved by CCAT</t>
  </si>
  <si>
    <t xml:space="preserve">* [Registering to Bentley ID + Adding VIN] :  
1. Add the VIN after logging in to My Bentley App
(My Bentley App --&gt; LOGIN OR REGISTER --&gt; Enter valid Email Address --&gt; NEXT --&gt;  Create a Password in CREATE ACCOUNT page --&gt; CREATE --&gt; ACCEPT (Privacy Policy &amp; Terms Of Use) --&gt; OPEN MAIL APP --&gt; Validate the Email ID --&gt; Back to My Bentley App --&gt; Login with Valid Credentials --&gt; ACCEPT(My Bentley Terms and Privacy) --&gt; ADD A VEHICLE --&gt; Manually add the VIN under 'Enter VIN manually' section --&gt; CONFIRM --&gt;  Select 'Retailer' under 'Your Bentley Retailer' section --&gt; CONFIRM --&gt; CONTINUE --&gt;  Add 'PERSONAL DATA' - First name , Last name --&gt; CONTINUE --&gt; Select 'Location'(Ex : United Kingdom) --&gt; Add 'ADDRESS'- Building , House Number , Street , City , Postal Code , Country --&gt; CONTINUE --&gt; Add 'Mobile Number' by selecting valid 'Area Code' &amp; 'Mobile Phone' --&gt; CONTINUE --&gt; Vehicle Request to add the VIN should be submitted successfully --&gt; CONTINUE)  
* [RNR Successfull : Email] : 
2. Check whether an email confirmation is received to the registered Bentley Account Email ID if RNR is successfull during the Customer Enrollment Process
* [Primary User Nomination - Vehicle HMI] : 
3. In vehicle HMI, Check for Primary User Nomination 
(In Vehicle HMI --&gt; Settings --&gt; Users --&gt; Focus on the User)
* [Set SPIN] :
4. In DASHBOARD Screen, Under 'SET YOUR SPIN' section try setting the SPIN
(Click on SET MY SPIN --&gt; Enter 4 digit numeric PIN under 'New Pin' &amp; 'Enter new PIN again' sections  --&gt; SET PIN)
* [Check My Bentley App Remote Services] : 
5. Now go to My Bentley App and try to perform
a. Vehicle Status Refresh (Ex : Door , Window ....etc. status)
b. Remote Lock / Unlock </t>
  </si>
  <si>
    <t>* [Registering to Bentley ID + Adding VIN] : 
1. If RNR check is approved, The VIN / Vehicle should be seen in My Bentley App
* [RNR Successfull : Email] : 
2. An email confirmation stating RNR check successfull should be received to the registered Bentley Account Email ID if RNR is successfull during the Customer Enrollment Process
* [Primary User Nomination - Vehicle HMI] : 
3. Primary User should be nominated in vehicle automatically once RNR check is approved by Call Centre Agent(i.e. No user interaction required in Vehicle HMI for Primary User Nomination)
* [Set SPIN] :
4. 4-digit numericSPIN should be set successfully without any issues
* [Check My Bentley App Remote Services] :
5. My Bentley App Remote Services should be enabled and work as expected
a. Vehicle Status Refresh
b. Remote Lock / Unlock</t>
  </si>
  <si>
    <t>Verify the Customer Enrolment Process if RNR is unsuccessfull for an existing Bentley Account</t>
  </si>
  <si>
    <t xml:space="preserve">• My Bentley App Log In credentials available
• RNR check not approved by CCAT
• Bentley Account has already have other vehicle added to it </t>
  </si>
  <si>
    <t>* [Log In to Bentley ID] : 
1. Log In to Bentley ID with valid credentials
(My Bentley App --&gt; LOGIN OR REGISTER --&gt; Enter valid email id --&gt; NEXT --&gt; Enter the Password --&gt; NEXT)
* [ADD VIN in My Bentley App] : 
2. In 'ADD A VEHICLE' screen, Manually enter the vehicle VIN details and check whether the VIN / Vehicle can be seen on My Bentley App if RNR check is unsuccessfull 
(My Bentley App --&gt; ADD A VEHICLE (In 'DASHBOARD - ADD A VEHICLE' page) --&gt; Manually add the VIN under 'Enter VIN manually' section --&gt; CONFIRM --&gt; Select 'Retailer' under 'Your preferred Bentley retailer' section --&gt; CONFIRM --&gt; CONTINUE --&gt; Add 'YOUR DETAILS' - First name , Last name --&gt; CONTINUE --&gt; Select 'Location'(Ex : United Kingdom) --&gt; Add 'YOUR ADDRESS'- Building , House Number, City , Postal Code , Country --&gt; CONTINUE --&gt; Add 'Mobile Number' by selecting valid 'Area Code' &amp; 'Mobile Phone' --&gt; CONTINUE --&gt; Vehicle Request to add the VIN should be submitted successfully --&gt; CONTINUE)</t>
  </si>
  <si>
    <t>* [Log In to Bentley ID] : 
1. Log In to Bentley ID should be successfull and focus is in vehicle 'DASHBOARD' screen
* [ADD VIN in My Bentley App] : 
2a. If RNR check is not approved or failure, An informatory message such as 'Registration failed / Unsuccessfull - An error as ocurred. Please try again. If the error persists, please contact customer service' should be displayed in My Bentley App along with 'CONTINUE' button
2b. Clicking on 'CONTINUE' button takes screen focus to 'ADD A VEHICLE' screen
Note : VIN / Vehicle should not be added to Bentley Account if RNR check has failed</t>
  </si>
  <si>
    <t>Verify the email confirmation received to the registered Bentley Account Email ID if RNR is unsuccessfull during the Customer Enrollment Process</t>
  </si>
  <si>
    <t>• My Bentley App Log In credentials available
• Privacy Mode is disabed in the vehicle HMI</t>
  </si>
  <si>
    <t xml:space="preserve">• RNR check not approved by CCAT
• Bentley Account has already have other vehicle added to it </t>
  </si>
  <si>
    <t>* [Log In to Bentley ID] : 
1. Log In to Bentley ID with valid credentials
(My Bentley App --&gt; LOGIN OR REGISTER --&gt; Enter valid email id --&gt; NEXT --&gt; Enter the Password --&gt; NEXT)
* [ADD VIN in My Bentley App] : 
2. In 'ADD A VEHICLE' screen, Manually enter the vehicle VIN details and check whether the VIN / Vehicle can be seen on My Bentley App if RNR check is unsuccessfull 
(My Bentley App --&gt; ADD A VEHICLE (In 'DASHBOARD - ADD A VEHICLE' page) --&gt; Manually add the VIN under 'Enter VIN manually' section --&gt; CONFIRM --&gt; Select 'Retailer' under 'Your preferred Bentley retailer' section --&gt; CONFIRM --&gt; CONTINUE --&gt; Add 'YOUR DETAILS' - First name , Last name --&gt; CONTINUE --&gt; Select 'Location'(Ex : United Kingdom) --&gt; Add 'YOUR ADDRESS'- Building , House Number, City , Postal Code , Country --&gt; CONTINUE --&gt; Add 'Mobile Number' by selecting valid 'Area Code' &amp; 'Mobile Phone' --&gt; CONTINUE --&gt; Vehicle Request to add the VIN should be submitted successfully --&gt; CONTINUE)
* [RNR Unsuccessfull : Email] : 
3. Check whether an email confirmation is received to the registered Bentley Account Email ID if RNR is unsuccessfull during the Customer Enrollment Process</t>
  </si>
  <si>
    <t>* [Log In to Bentley ID] : 
1. Log In to Bentley ID should be successfull and focus is in vehicle 'DASHBOARD' screen
* [ADD VIN in My Bentley App] : 
2a. If RNR check is not approved or failure, An informatory message such as 'Registration failed / Unsuccessfull - An error as ocurred. Please try again. If the error persists, please contact customer service' should be displayed in My Bentley App along with 'CONTINUE' button
2b. Clicking on 'CONTINUE' button takes screen focus to 'ADD A VEHICLE' screen
Note : VIN / Vehicle should not be added to Bentley Account if RNR check has failed
* [RNR Unsuccessfull : Email] : 
3. An email confirmation stating to contact the dealer or the customer support team related to RNR check failed should be received to the registered Bentley Account Email ID if RNR is unsuccessfull during the Customer Enrollment Process</t>
  </si>
  <si>
    <t>Verify the Customer Enrolment Process if RNR is successfull for an existing Bentley Account</t>
  </si>
  <si>
    <t xml:space="preserve">• RNR check approved by CCAT
• Bentley Account has already have other vehicle added to it </t>
  </si>
  <si>
    <t xml:space="preserve">* [Log In to Bentley ID] : 
1. Log In to Bentley ID with valid credentials
(My Bentley App --&gt; LOGIN OR REGISTER --&gt; Enter valid email id --&gt; NEXT --&gt; Enter the Password --&gt; NEXT)
* [ADD VIN in My Bentley App] : 
2. In 'ADD A VEHICLE' screen, Manually enter the vehicle VIN details and check whether the VIN / Vehicle can be seen on My Bentley App if RNR check is successfull 
(My Bentley App --&gt; ADD A VEHICLE (In 'DASHBOARD - ADD A VEHICLE' page) --&gt; Manually add the VIN under 'Enter VIN manually' section --&gt; CONFIRM --&gt; Select 'Retailer' under 'Your preferred Bentley retailer' section --&gt; CONFIRM --&gt; CONTINUE --&gt; Add 'YOUR DETAILS' - First name , Last name --&gt; CONTINUE --&gt; Select 'Location'(Ex : United Kingdom) --&gt; Add 'YOUR ADDRESS'- Building , House Number, City , Postal Code , Country --&gt; CONTINUE --&gt; Add 'Mobile Number' by selecting valid 'Area Code' &amp; 'Mobile Phone' --&gt; CONTINUE --&gt; Vehicle Request to add the VIN should be submitted successfully --&gt; CONTINUE)
* [RNR Successfull : Email] : 
3. Check whether an email confirmation is received to the registered Bentley Account Email ID if RNR is successfull during the Customer Enrollment Process
* [Primary User Nomination - Vehicle HMI] : 
4. Check whether Primary User has been nominated automatically 
(In Vehicle HMI --&gt; Settings --&gt; Users --&gt; Focus on the User)
* [Set Your SPIN] : 
5. In DASHBOARD Screen, Check for 'SET YOUR SPIN' section
* [Check My Bentley App Remote Services] : 
6. Now go to My Bentley App and try to perform
a. Vehicle Status Refresh (Ex : Door , Window ....etc. status)
b. Remote Lock / Unlock </t>
  </si>
  <si>
    <t>* [Log In to Bentley ID] : 
1. Log In to Bentley ID should be successfull and focus is in vehicle 'DASHBOARD' screen
* [ADD VIN in My Bentley App] : 
2. If RNR check is approved, The VIN / Vehicle should be seen in My Bentley App
* [RNR Successfull : Email] : 
3. An email confirmation stating RNR check successfull should be received to the registered Bentley Account Email ID if RNR is successfull during the Customer Enrollment Process
* [Primary User Nomination - Vehicle HMI] : 
4. The Call Centre should automatically nominate the Primary User in vehicle after RNR check successfull for an add VIN validation request(i.e. No user interaction required in Vehicle HMI for Primary User Nomination).
* [Set Your SPIN] : 
5. 'SET YOUR SPIN' section should not be seen in 'DASHBOARD' screen of My Bentley App for an existing Bentley Account
* [Check My Bentley App Remote Services] :
6. All My Bentley App Remote Services should work as expected</t>
  </si>
  <si>
    <t xml:space="preserve">Verify the Customer Enrolment Process when user has requested not to access the remote services during Real name Registration from submission </t>
  </si>
  <si>
    <t>• My Bentley App Log In credentials available</t>
  </si>
  <si>
    <t xml:space="preserve">• Privacy Mode is disabed in the vehicle HMI
• Customer elected not to access remote services during RNR form submission
• VIN Real Name Registered
• Bentley Account has already have other vehicle added to it </t>
  </si>
  <si>
    <t>* [Log In to Bentley ID] : 
1. Log In to Bentley ID with valid credentials
(My Bentley App --&gt; LOGIN OR REGISTER --&gt; Enter valid email id --&gt; NEXT --&gt; Enter the Password --&gt; NEXT)
* [ADD VIN in My Bentley App] : 
2. In 'ADD A VEHICLE' screen, Manually enter the vehicle VIN details and check whether the VIN / Vehicle can be seen on My Bentley App if RNR check is successfull 
(My Bentley App --&gt; ADD A VEHICLE (In 'DASHBOARD - ADD A VEHICLE' page) --&gt; Manually add the VIN under 'Enter VIN manually' section --&gt; CONFIRM --&gt; Select 'Retailer' under 'Your preferred Bentley retailer' section --&gt; CONFIRM --&gt; CONTINUE --&gt; Add 'YOUR DETAILS' - First name , Last name --&gt; CONTINUE --&gt; Select 'Location'(Ex : United Kingdom) --&gt; Add 'YOUR ADDRESS'- Building , House Number, City , Postal Code , Country --&gt; CONTINUE --&gt; Add 'Mobile Number' by selecting valid 'Area Code' &amp; 'Mobile Phone' --&gt; CONTINUE --&gt; Vehicle Request to add the VIN should be submitted successfully --&gt; CONTINUE)</t>
  </si>
  <si>
    <t xml:space="preserve">* [Log In to Bentley ID] : 
1. Log In to Bentley ID should be successfull and focus is in vehicle 'DASHBOARD' screen
* [ADD VIN in My Bentley App] : 
2a. RNR check should fail when VIN Real Name Registered and Customer elected not to access remotes services during RNR form submission, 
2b. An informatory message such as 'Registration failed / Unsuccessfull - An error as ocurred. Please try again. If the error persists, please contact customer service' should be displayed in My Bentley App along with 'CONTINUE' button
2c. Clicking on 'CONTINUE' button takes screen focus to 'ADD A VEHICLE' screen
</t>
  </si>
  <si>
    <t>Verify 'SET YOUR SPIN' section for an existing Bentley Account</t>
  </si>
  <si>
    <t>• RNR check approved by CCAT
• VIN / Vehicle added to Bentley Account</t>
  </si>
  <si>
    <t xml:space="preserve">* [Log In to Bentley ID] : 
1. Log In to Bentley ID with valid credentials
(My Bentley App --&gt; LOGIN OR REGISTER --&gt; Enter valid email id --&gt; NEXT --&gt; Enter the Password --&gt; NEXT)
* [Set Your SPIN] : 
2. Now check whether 'SET YOUR PIN' section along with 'SET MY SPIN ' button displayed in 'DASHBOARD' screen of My Bentley App </t>
  </si>
  <si>
    <t>* [Log In to Bentley ID] : 
1. Log In to Bentley ID should be successfull and focus is in vehicle 'DASHBOARD' screen
* [Set Your SPIN] : 
2. 'SET YOUR PIN' section along with 'SET PIN' button should not be displayed under 'DASHBOARD' screen of My Bentley App</t>
  </si>
  <si>
    <t>Verify My Bentley App status when Primary User is removed from Vehicle Bentley's infotainment system</t>
  </si>
  <si>
    <t>* [Primary User Nomination - Vehicle HMI] : 
1. In Vehicle Bentley's infotainment system, Remove the Primary User
(In Vehicle HMI --&gt; Users --&gt; Select the Primary User --&gt; Click on Gear Icon --&gt; Remove Primary User --&gt; Remove now)
* [Log In to Bentley ID] : 
2. Log In to Bentley ID with valid credentials and check My Bentley App 'DASHBOARD' screen
(My Bentley App --&gt; LOGIN OR REGISTER --&gt; Enter valid email id --&gt; NEXT --&gt; Enter the Password --&gt; NEXT)</t>
  </si>
  <si>
    <t>* [Primary User Nomination - Vehicle HMI] : 
1. Primary User should be successfully deleted on vehicle Bentley's infotainment system
* [Log In to Bentley ID] : 
2. Log In to Bentley ID should be successfull and focus is in vehicle 'DASHBOARD' screen with all of its services disabled
Note : All My Bentley App Remote Services should be disabled for this particular VIN / Vehicle due to revoking of Primary User</t>
  </si>
  <si>
    <t>Verify 'Set Primary User' option under 'User Settings' screen after Primary User is removed from Vehicle Bentley's infotainment system</t>
  </si>
  <si>
    <t>* [Primary User Nomination (Remove Primary User) - Vehicle HMI] : 
1. In Vehicle Bentley's infotainment system, Remove the Primary User
(In Vehicle HMI --&gt; Users --&gt; Select the Primary User --&gt; Click on Gear Icon --&gt; Remove Primary User --&gt; Remove now)
* ['User Settings' Screen (Set Primary User) - Vehicle HMI] : 
2. In Vehicle Bentley's infotainment system, Validate 'Set Primary User' option under 'User Settings' screen
(In Vehicle HMI --&gt; Users --&gt; Click on Gear Icon)</t>
  </si>
  <si>
    <t>* [Primary User Nomination (Remove Primary User) - Vehicle HMI] : 
1. Primary User should be successfully deleted on vehicle Bentley's infotainment system
* ['User Settings' Screen (Set Primary User) - Vehicle HMI] : 
2a. 'Set Primary User' option under 'User Settings' screen should be disabled or greyed out
2b. Clicking on 'Set Primary User' option under 'User Settings' screen should display some kind of message understandle to user stating that 'The function is not available'
Note : All My Bentley App Remote Services should be disabled for this particular VIN / Vehicle due to revoking of Primary User</t>
  </si>
  <si>
    <t>Verify requesting Call Centre Agent to activate My Bentley App Remote Services after Primary User is removed from Vehicle Bentley's infotainment system</t>
  </si>
  <si>
    <t xml:space="preserve">* [Primary User Nomination - Vehicle HMI] : 
1. In Vehicle Bentley's infotainment system, Remove the Primary User
(In Vehicle HMI --&gt; Users --&gt; Select the Primary User --&gt; Click on Gear Icon --&gt; 'Remove Primary User')
* [Log In to Bentley ID] : 
2. Log In to Bentley ID with valid credentials and check My Bentley App 'DASHBOARD' screen
(My Bentley App --&gt; LOGIN OR REGISTER --&gt; Enter valid email id --&gt; NEXT --&gt; Enter the Password --&gt; NEXT)
* [Request to activate My Bentley App Remote Services - Call Centre] : 
3. Initiate a call to Call Centre Agent and request for activating My Bentley App Remote Services after revoking the Primary User from vehicle Bentley's infotainment system
* [Check My Bentley App Remote Services] : 
4. Now go to My Bentley App and try to perform
a. Vehicle Status Refresh (Ex : Door , Window ....etc. status)
b. Remote Lock / Unlock </t>
  </si>
  <si>
    <t>* [Primary User Nomination - Vehicle HMI] : 
1. Primary User should be successfully deleted on vehicle Bentley's infotainment system
* [Log In to Bentley ID] : 
2. Log In to Bentley ID should be successfull and focus is in vehicle 'DASHBOARD' screen with all of its services disabled
* [Request to activate My Bentley App Remote Services - Call Centre] : 
3. The Call Centre Agent should validate the RNR check in their database and should renominate the Primary User in vehicle inturn activating My Bentley App Remote Services
* [Check My Bentley App Remote Services] :
4. All My Bentley App Remote Services should work as expected</t>
  </si>
  <si>
    <t>Verify Forgotten my PIN reset from My Bentley App removes Primary User from Vehicle Bentley's infotainment system.</t>
  </si>
  <si>
    <t>• RNR check approved by CCAT
• Vehicle already added in My Bentley App
• User has a VIN linked to their account with Primary User nominated</t>
  </si>
  <si>
    <t>* [Log In to Bentley ID] : 
1. Log In to Bentley ID with valid credentials and check My Bentley App 'DASHBOARD' screen
(My Bentley App --&gt; LOGIN OR REGISTER --&gt; Enter valid email id --&gt; NEXT --&gt; Enter the Password --&gt; NEXT)
* [Forgotten your PIN] : 
2. Perform 'Forgotten your PIN'
(My Bentley App --&gt; Profile --&gt; Account --&gt; PIN --&gt; Forgotten your PIN? --&gt; Enter 4-digit numeric pin under 'New PIN' &amp; 'Enter new PIN again' fields --&gt; RESET PIN)
* [My Bentley App] : 
3. Check the status of VIN / Vehicle in 'DASHBOARD' screen of My Bentley App
* [Primary User Nomination - Vehicle HMI] : 
4. Check for Primary User Nomination 
(In Vehicle HMI --&gt; Settings --&gt; Users --&gt; Focus on the User)</t>
  </si>
  <si>
    <t>* [Log In to Bentley ID] : 
1. Log In to Bentley ID should be successfull and focus is in vehicle 'DASHBOARD' screen with guest user tile
* [Forgotten your PIN] : 
2a. PIN reset should be successfully achieved
2b. Primary User should be revoked from vehicle
* [My Bentley App] : 
3. VIN / Vehicle 'DASHBOARD' screen displayed with all its services deactivated
Note : All My Bentley App Remote Services should be disabled for this particular VIN / Vehicle due to revoking of Primary User
* [Primary User Nomination - Vehicle HMI] : 
4. The focussed user should not be nominated with primary user</t>
  </si>
  <si>
    <t>Verify My Bentley App status when the current user with Primary User nominated is deleted from Vehicle Bentley's infotainment system</t>
  </si>
  <si>
    <t>* [Delete User - Vehicle HMI] : 
1. In Vehicle Bentley's infotainment system, Delete the current primary user
(In Vehicle HMI --&gt; Users --&gt; Click on Gear Icon --&gt; Select the user --&gt; Delete)  
or
(In Vehicle HMI --&gt; Users --&gt; Select the Primary User --&gt; Remove user from vehicle)
* [Log In to Bentley ID] : 
2. Log In to Bentley ID with valid credentials and check My Bentley App 'DASHBOARD' screen
(My Bentley App --&gt; LOGIN OR REGISTER --&gt; Enter valid email id --&gt; NEXT --&gt; Enter the Password --&gt; NEXT)</t>
  </si>
  <si>
    <t>* [Delete User - Vehicle HMI] : 
1a. The current user should be successfully deleted on vehicle Bentley's infotainment system
1b. The guest user should be active
* [Log In to Bentley ID] : 
2. Log In to Bentley ID should be successfull and focus is in vehicle 'DASHBOARD' screen with guest user tile
Note : All My Bentley App Remote Services should be disabled for this particular VIN / Vehicle when current user is a Guest User</t>
  </si>
  <si>
    <t>Verify Primary User in vehicle HMI when VIN / Vehicle is deleted from My Bentley App</t>
  </si>
  <si>
    <t>* [Log In to Bentley ID] : 
1. Log In to Bentley ID with valid credentials and check My Bentley App 'DASHBOARD' screen
(My Bentley App --&gt; LOGIN OR REGISTER --&gt; Enter valid email id --&gt; NEXT --&gt; Enter the Password --&gt; NEXT)
* [Delete Vehicle] : 
2. Delete the VIN / Vehicle from Bentley Account
(My Bentley App DASHBOARD screen --&gt; Click on 'i' icon --&gt; Delete vehicle --&gt; Delete)
* [Primary User Nomination - Vehicle HMI] : 
3. Check for Primary User Nomination 
(In Vehicle HMI --&gt; Settings --&gt; Users --&gt; Focus on the User)</t>
  </si>
  <si>
    <t>* [Log In to Bentley ID] : 
1. Log In to Bentley ID should be successfull and focus is in vehicle 'DASHBOARD' screen
* [Delete Vehicle] : 
2. The VIN / Vehicle should be removed from Bentley Account successfully  
* [Primary User Nomination - Vehicle HMI] : 
3. The focussed user should not be nominated with primary user</t>
  </si>
  <si>
    <t>Verify readding the VIN after deleting it from My Bentley App</t>
  </si>
  <si>
    <t xml:space="preserve">* [Log In to Bentley ID] : 
1. Log In to Bentley ID with valid credentials and check My Bentley App 'DASHBOARD' screen
(My Bentley App --&gt; LOGIN OR REGISTER --&gt; Enter valid email id --&gt; NEXT --&gt; Enter the Password --&gt; NEXT)
* [Delete Vehicle] : 
2. Delete the VIN / Vehicle from Bentley Account
(My Bentley App DASHBOARD screen --&gt; Click on 'i' icon --&gt; Delete vehicle --&gt; Delete)
* [Primary User Nomination - Vehicle HMI] : 
3. Check for Primary User Nomination 
(In Vehicle HMI --&gt; Settings --&gt; Users --&gt; Focus on the User)
* [ADD VIN in My Bentley App] : 
4. In 'ADD A VEHICLE' screen, Manually enter the vehicle VIN details and check whether the VIN / Vehicle can be seen on My Bentley App if RNR check is successfull 
(My Bentley App --&gt; ADD A VEHICLE (In 'DASHBOARD - ADD A VEHICLE' page) --&gt; Manually add the VIN under 'Enter VIN manually' section --&gt; CONFIRM --&gt; Select 'Retailer' under 'Your preferred Bentley retailer' section --&gt; CONFIRM --&gt; CONTINUE --&gt; Add 'YOUR DETAILS' - First name , Last name --&gt; CONTINUE --&gt; Select 'Location'(Ex : United Kingdom) --&gt; Add 'YOUR ADDRESS'- Building , House Number, City , Postal Code , Country --&gt; CONTINUE --&gt; Add 'Mobile Number' by selecting valid 'Area Code' &amp; 'Mobile Phone' --&gt; CONTINUE --&gt; Vehicle Request to add the VIN should be submitted successfully --&gt; CONTINUE)
* [RNR Successfull : Email] : 
5. Check whether an email confirmation is received to the registered Bentley Account Email ID if RNR is successfull during the Customer Enrollment Process
* [Primary User Nomination - Vehicle HMI] : 
6. Check whether Primary User has been nominated automatically 
(In Vehicle HMI --&gt; Settings --&gt; Users --&gt; Focus on the User)
* [Set Your SPIN] : 
7. In DASHBOARD Screen, Check for 'SET YOUR SPIN' section
* [Check My Bentley App Remote Services] : 
8. Now go to My Bentley App and try to perform
a. Vehicle Status Refresh (Ex : Door , Window ....etc. status)
b. Remote Lock / Unlock </t>
  </si>
  <si>
    <t>* [Log In to Bentley ID] : 
1. Log In to Bentley ID should be successfull and focus is in vehicle 'DASHBOARD' screen
* [Delete Vehicle] : 
2. The VIN / Vehicle should be removed from Bentley Account successfully  
* [Primary User Nomination - Vehicle HMI] : 
3. The focussed user should not be nominated with primary user
* [ADD VIN in My Bentley App] : 
4. If RNR check is approved, The VIN / Vehicle should be seen in My Bentley App
* [RNR Successfull : Email] : 
5. An email confirmation stating RNR check successfull should be received to the registered Bentley Account Email ID if RNR is successfull during the Customer Enrollment Process
* [Primary User Nomination - Vehicle HMI] : 
6. The Call Centre should automatically nominate the Primary User in vehicle after RNR check successfull for an add VIN validation request(i.e. No user interaction required in Vehicle HMI for Primary User Nomination).
* [Set Your SPIN] : 
7. 'SET YOUR SPIN' section should not be seen in 'DASHBOARD' screen of My Bentley App for an existing Bentley Account
* [Check My Bentley App Remote Services] :
8. All My Bentley App Remote Services should work as expected</t>
  </si>
  <si>
    <t>Verify adding the same VIN to multiple account</t>
  </si>
  <si>
    <t>• RNR check approved by CCAT
• 'USER-1' has a VIN linked to their account with Primary User nominated
• 'USER-2' has a no VIN linked to their account</t>
  </si>
  <si>
    <t>USER-1 :: 
* [Log In to Bentley ID] : 
1. Log In to Bentley ID with valid credentials and check My Bentley App 'DASHBOARD' screen
(My Bentley App --&gt; LOGIN OR REGISTER --&gt; Enter valid email id --&gt; NEXT --&gt; Enter the Password --&gt; NEXT)
USER-2 :: 
* [Log In to Bentley ID] : 
2. Log In to Bentley ID with valid credentials and check My Bentley App 'DASHBOARD' screen
(My Bentley App --&gt; LOGIN OR REGISTER --&gt; Enter valid email id --&gt; NEXT --&gt; Enter the Password --&gt; NEXT)
* [ADD VIN in My Bentley App] : 
3. In 'ADD A VEHICLE' screen, Manually enter the vehicle VIN details and check whether the VIN / Vehicle can be seen on My Bentley App if RNR check is successfull 
(My Bentley App --&gt; ADD A VEHICLE (In 'DASHBOARD - ADD A VEHICLE' page) --&gt; Manually add the VIN under 'Enter VIN manually' section --&gt; CONFIRM --&gt; Select 'Retailer' under 'Your preferred Bentley retailer' section --&gt; CONFIRM --&gt; CONTINUE --&gt; Add 'YOUR DETAILS' - First name , Last name --&gt; CONTINUE --&gt; Select 'Location'(Ex : United Kingdom) --&gt; Add 'YOUR ADDRESS'- Building , House Number, City , Postal Code , Country --&gt; CONTINUE --&gt; Add 'Mobile Number' by selecting valid 'Area Code' &amp; 'Mobile Phone' --&gt; CONTINUE --&gt; Vehicle Request to add the VIN should be submitted successfully --&gt; CONTINUE)</t>
  </si>
  <si>
    <t>USER-1 ::
* [Log In to Bentley ID] : 
1. Log In to Bentley ID should be successfull and focus is in vehicle 'DASHBOARD' screen and all
USER-2 ::
* [Log In to Bentley ID] : 
2. Log In to Bentley ID should be successfull and focus is in 'ADD A VEHICLE' screen
* [ADD VIN in My Bentley App] : 
3a. The My Bentley App displays the vehicle information, but services are disabled because the user is not Primary User
3b. Message is shown on the dashboard stating 'Primary User Already Set' along with option to contact the call centre agent</t>
  </si>
  <si>
    <t>Verify requesting Call Centre Agent to activate the newly added user as the Primary User</t>
  </si>
  <si>
    <t>• RNR check approved by CCAT
• 'USER-1' has a VIN linked to their account with Primary User nominated
• 'USER-2' has VIN linked to their account but not Primary User</t>
  </si>
  <si>
    <t xml:space="preserve">USER-1 :: 
* [Log In to Bentley ID] : 
1. Log In to Bentley ID with valid credentials and check My Bentley App 'DASHBOARD' screen
(My Bentley App --&gt; LOGIN OR REGISTER --&gt; Enter valid email id --&gt; NEXT --&gt; Enter the Password --&gt; NEXT)
USER-2 :: 
* [Log In to Bentley ID] : 
2. Log In to Bentley ID with valid credentials and check My Bentley App 'DASHBOARD' screen
(My Bentley App --&gt; LOGIN OR REGISTER --&gt; Enter valid email id --&gt; NEXT --&gt; Enter the Password --&gt; NEXT)
* [Request Call Centre Agent to activate -My Bentley App Remote Services :: User-2] : 
3. Request Call Centre Agent to activate the remote services
* [RNR Successfull : Email] : 
4. Check whether an email confirmation is received to the registered Bentley Account Email ID(User-2) if RNR is successfull during the Customer Enrollment Process
* [Primary User Nomination - Vehicle HMI] : 
5. Check whether Primary User has been nominated automatically for Bentley Account(User-2) 
(In Vehicle HMI --&gt; Settings --&gt; Users --&gt; Focus on the User)
* [Set Your SPIN] : 
6. In DASHBOARD Screen, Check for 'SET YOUR SPIN' section
* [Check My Bentley App Remote Services] : 
7. Now go to My Bentley App and try to perform
a. Vehicle Status Refresh (Ex : Door , Window ....etc. status)
b. Remote Lock / Unlock </t>
  </si>
  <si>
    <t>USER-1 ::
* [Log In to Bentley ID] : 
1. Log In to Bentley ID should be successfull and focus is in vehicle 'DASHBOARD' screen
USER-2 ::
* [Log In to Bentley ID] : 
2a. Log In to Bentley ID should be successfull and My Bentley App displays the vehicle information, but services are disabled because the user is not Primary User
2b. Message is shown on the dashboard stating 'Primary User Already Set' along with option to contact the call centre agent
* [Request Call Centre Agent to activate -My Bentley App Remote Services :: User-2] : 
3. The Call Centre Agent should activate the remote services for User-2 after validating the RNR check from their database once again
* [RNR Successfull : Email] : 
4. An email confirmation stating RNR check successfull should be received to the registered Bentley Account Email ID(User-2) if RNR is successfull during the Customer Enrollment Process
* [Primary User Nomination - Vehicle HMI] : 
5. The Call Centre should automatically nominate the Primary User in vehicle for Bentley Account(User-2) after RNR check successfull for an add VIN validation request(i.e. No user interaction required in Vehicle HMI for Primary User Nomination).
* [Set Your SPIN] : 
6. 'SET YOUR SPIN' section should not be seen in 'DASHBOARD' screen of My Bentley App for an existing Bentley Account
* [Check My Bentley App Remote Services] :
7. All My Bentley App Remote Services should work as expected</t>
  </si>
  <si>
    <t>Add VIN</t>
  </si>
  <si>
    <t xml:space="preserve">Ensure that below preconditions are met before start the testing for this service
• My Bentley in Car Services' and 'My Bentley Remote Services' license is valid and in use
• Please set these for My Bentley Development App when testing on ODP setup : Under 'BACKEND &amp; MOCK DATA' screen(Launch My Bentley App &amp; Tap for 6 times)
                       1. Set 'MSG Deployment' = 'APP(Approval)' / 'LIVE(Live)' 
                       2. Set 'Support ODP / invocation URLs' = 'Enable(ODP)'
                       3. Set 'Login Method' = 'idk(IDK - Solution)' / 'ping(PING - Solution)
• Please set these for My Bentley Development App when testing on MBB setup : Under 'BACKEND &amp; MOCK DATA' screen(Launch My Bentley App &amp; Tap for 6 times)
                       1. Set 'MSG Deployment' = 'APP(Approval)' / 'LIVE(Live)' 
                       2. Set 'Support ODP / invocation URLs' = 'Disable(MBB)'
                       3. Set 'Login Method' = 'idk(IDK - Solution)' / 'ping(PING - Solution)'   </t>
  </si>
  <si>
    <t>Verify manual VIN adding after creating a new Bentley Account on My Bentley App</t>
  </si>
  <si>
    <t>• No Bentley ID Account avaialable</t>
  </si>
  <si>
    <t xml:space="preserve">Manual Add VIN :
1. Add the vehicle VIN manually via My Bentley App after creating a new Bentley Account on My Bentley App
My Bentley App : 
( My Bentley App --&gt; LOGIN OR REGISTER --&gt; Enter valid Email Address --&gt; NEXT --&gt;  Create a Password in CREATE ACCOUNT page --&gt; CREATE --&gt; ACCEPT (Privacy Policy &amp; Terms Of Use) --&gt; OPEN MAIL APP --&gt; Validate the Email ID --&gt; Back to My Bentley App --&gt; Login with Valid Credentials --&gt; ACCEPT(My Bentley Terms and Privacy) --&gt; ADD A VEHICLE --&gt; Manually add the VIN under 'Enter VIN manually' section --&gt; CONFIRM --&gt;  Select 'Retailer' under 'Your Bentley Retailer' section --&gt; CONFIRM --&gt; CONTINUE --&gt;  Add 'PERSONAL DATA' - First name , Last name --&gt; CONTINUE --&gt; Select 'Location'(Ex : United Kingdom) --&gt; Add 'ADDRESS'- Building , House Number , Street , City , Postal Code , Country --&gt; CONTINUE --&gt; Add 'Mobile Number' by selecting valid 'Area Code' &amp; 'Mobile Phone' --&gt; CONTINUE --&gt; Vehicle Request to add the VIN should be submitted successfully --&gt; Continue --&gt; The VIN / Vehicle should be seen in My Bentley App ) 
</t>
  </si>
  <si>
    <t>1. The customer should be able to manually add the VIN to the respective freshly created Bentley Account successfully
( i.e. The recently added VIN / Vehicle should be seen in My Bentley App )</t>
  </si>
  <si>
    <t>Verify adding VIN via 'Optical Character Recognition(OCR)' after creating a new Bentley Account on My Bentley App</t>
  </si>
  <si>
    <t xml:space="preserve">Add VIN - OCR Functionality :
1. Add the vehicle VIN  via OCR Functionality after creating a new Bentley Account on My Bentley App
My Bentley App : 
( My Bentley App --&gt; LOGIN OR REGISTER --&gt; Enter valid Email Address --&gt; NEXT --&gt;  Create a Password in CREATE ACCOUNT page --&gt; CREATE --&gt; ACCEPT (Privacy Policy &amp; Terms Of Use) --&gt; OPEN MAIL APP --&gt; Validate the Email ID --&gt; Back to My Bentley App --&gt; Login with Valid Credentials --&gt; ACCEPT(My Bentley Terms and Privacy) --&gt; ADD A VEHICLE --&gt;  Click 'Open Camera' under 'Want to scan your VIN' section --&gt; Mobile Camera should be launched --&gt; Centre your VIN in the box displayed in Camera --&gt; VIN added to 'CONFIRM YOUR VIN' section --&gt; Click on 'CONFIRM' button --&gt; Select 'Retailer' under 'Your Bentley Retailer' section --&gt; CONFIRM --&gt; CONTINUE --&gt;  Add 'PERSONAL DATA' - First name , Last name --&gt; CONTINUE --&gt; Select 'Location'(Ex : United Kingdom) --&gt; Add 'ADDRESS'- Building , House Number , Street , City , Postal Code , Country --&gt; CONTINUE --&gt; Add 'Mobile Number' by selecting valid 'Area Code' &amp; 'Mobile Phone' --&gt; CONTINUE --&gt; Vehicle Request to add the VIN should be submitted successfully --&gt;  CONTINUE --&gt; The VIN / Vehicle should be seen in My Bentley App ) 
</t>
  </si>
  <si>
    <t>1. The customer should be able to add the VIN via 'Optical Character Recognition(OCR)' to the respective freshly created Bentley Account successfully
( i.e. The recently added VIN / Vehicle should be seen in My Bentley App )</t>
  </si>
  <si>
    <t>Verify manual adding of an Valid VIN via 'ADD A VEHICLE' screen</t>
  </si>
  <si>
    <t>• Login to My Bentley App with valid credentials
• The screen focus is in "My Bentley App - ADD A VEHICLE" page
( My Bentley App --&gt; LOGIN OR REGISTER --&gt; Email --&gt; Enter valid email id --&gt; NEXT --&gt; Enter the Password --&gt; NEXT --&gt; Vehicle "DASHBOARD" Screen --&gt; Scroll to "ADD A VEHICLE" Screen )</t>
  </si>
  <si>
    <t>Add VIN - Manual (Valid VIN) : 
1. In 'ADD A VEHICLE' screen, Manually enter the vehicle VIN details and check whether the VIN / Vehicle can be seen on My Bentley App after successfull addition of VIN 
My Bentley App : 
( My Bentley App --&gt; ADD A VEHICLE (In 'DASHBOARD - ADD A VEHICLE' page) --&gt; Manually add the VIN under 'Enter VIN manually' section --&gt; CONFIRM --&gt; Select 'Retailer' under 'Your preferred Bentley retailer' section --&gt; CONFIRM --&gt; CONTINUE --&gt; Add 'YOUR DETAILS' - First name , Last name --&gt; CONTINUE --&gt; Select 'Location'(Ex : United Kingdom) --&gt; Add 'YOUR ADDRESS'- Building , House Number, City , Postal Code , Country --&gt; CONTINUE --&gt; Add 'Mobile Number' by selecting valid 'Area Code' &amp; 'Mobile Phone' --&gt; CONTINUE --&gt; Vehicle Request to add the VIN should be submitted successfully --&gt; CONTINUE --&gt; The VIN / Vehicle should be seen in My Bentley App DASHBOARD screen )</t>
  </si>
  <si>
    <t>1. The customer should be able to add the VIN via manual entry to the respective Bentley Account successfully
( i.e. The recently added VIN / Vehicle should be seen in My Bentley App )</t>
  </si>
  <si>
    <t>Verify 'VIN already registered to account msg' displayed when user tries to enter the already added VIN to Bentley Account under VIN field</t>
  </si>
  <si>
    <t>• VIN already added to Bentley Account</t>
  </si>
  <si>
    <t>Try adding already added VIN to Bentley Account - Manual (Valid VIN) : 
1. In 'ADD A VEHICLE' screen, Try adding already added VIN to Bentley Account and check whether the 'VIN already registered to account msg' displayed 
My Bentley App :
( ADD A VEHICLE screen --&gt; Click on 'ADD A VEHICLE' button --&gt; VIN field --&gt; Manually Enter already added Valid VIN details --&gt; CONFIRM --&gt; Select 'Retailer' under 'Your preferred Bentley retailer' section --&gt; CONFIRM )</t>
  </si>
  <si>
    <t>1. Message 'VIN already registered to account msg' should be displayed to user under 'VIN' section</t>
  </si>
  <si>
    <t>Verify manual adding of an Invalid VIN via 'ADD A VEHICLE' screen</t>
  </si>
  <si>
    <t>Add VIN - Manual (Invalid VIN) :
1. In 'ADD A VEHICLE Screen', Manually enter the invalid vehicle VIN details and check whether error message is displayed to user
My Bentley App (MBB-IDK / ODP-IDK) : 
ADD A VEHICLE screen --&gt; Click on 'ADD A VEHICLE' button --&gt; VIN field --&gt; Manually Enter Invalid VIN details --&gt; CONFIRM --&gt; Check for Message 'Invalid VIN : Please add valid VIN Information' should be displayed to user</t>
  </si>
  <si>
    <t>1. Message 'Invalid VIN : Please add valid VIN Information' should be displayed to user under 'VIN' section</t>
  </si>
  <si>
    <t>Verify validating 'ADD A VEHICLE' screen in My Bentley App</t>
  </si>
  <si>
    <t>• Login to My Bentley App with valid credentials
• The screen focus is in "My Bentley App - ADD A VEHICLE" page
( My Bentley App --&gt; LOGIN OR REGISTER --&gt; Email --&gt; Enter valid email id --&gt; NEXT --&gt; Enter the Password --&gt; NEXT --&gt; Vehicle "DASHBOARD" Screen --&gt; Scroll to "ADD A VEHICLE" Screen )
• Permission to access camera is already given to My Bentley App</t>
  </si>
  <si>
    <t>Validate  'ADD A VEHICLE' Screen : 
1. In 'ADD A VEHICLE' screen, Check for the options</t>
  </si>
  <si>
    <t>1. In 'ADD A VEHICLE' screen, It should display 
a. 'Open Camera' Link - Launches native camera to scan the VIN
b. 'Manual VIN entry' field - Customer can manually enter the VIN
c. 'CONFIRM' button
d. 'Locating your VIN' Link - Launches popup msg on how to locate your VIN in Bentley Vehicles</t>
  </si>
  <si>
    <t>Verify capturing VIN when via Camera [ Flash = Off ] and validate 'Scan VIN again' option under 'ADD A VEHICLE - CONFIRM YOUR VIN' Screen</t>
  </si>
  <si>
    <t xml:space="preserve">Validate  'ADD A VEHICLE' Screen :  
1. In 'ADD A VEHICLE' screen, Click on 'Open Camera' Link
2. Flash = Off
3. Centre focus the VIN in the virtual box in Camera and capture the photo
4. Click on 'Scan VIN again' option and Observe
My Bentley App : 
( ADD A VEHICLE screen --&gt; Click on 'ADD A VEHICLE' button --&gt; Open Camera  --&gt; Mobile Camera should be launched --&gt; Centre your VIN in the box specified in camera for capturing VIN --&gt; Capture VIN Photo --&gt; VIN added to 'ADD A VEHICLE - CONFIRM YOUR VIN' screen  --&gt; Click on 'Scan VIN again' ) </t>
  </si>
  <si>
    <t>1. Clicking on 'Open Camera' Link in 'ADD A VEHICLE' screen should launch camera
2. Flash is not enabled
3. VIN should be successfully captured without flash via camera and should be successfully added to VIN field
4. The Mobile Camera should be relaunched when user clicks on 'Scan VIN again'</t>
  </si>
  <si>
    <t>Verify capturing VIN when via Camera [ Flash = On ]</t>
  </si>
  <si>
    <t xml:space="preserve">Validate  'ADD A VEHICLE' Screen : 
1. In 'ADD A VEHICLE' screen, Click on 'Open Camera' Link
2. Flash = On
3. Centre focus the VIN in the virtual box in Camera and capture the photo
</t>
  </si>
  <si>
    <t>1. Clicking on 'Open Camera' Link in 'ADD A VEHICLE' screen should launch camera
2. Flash is enabled
3. VIN should be successfully captured with flash via camera and should be successfully added to VIN field</t>
  </si>
  <si>
    <t>Verify adding VIN in 'ADD A VEHICLE' Screen via Optical Character Recognition(OCR) when permission to access camera is given to My Bentley App</t>
  </si>
  <si>
    <t xml:space="preserve">Add VIN - Optical Character Recognition(OCR) - 'ADD A VEHICLE' Screen - Camera Permission - Given : 
1. In 'ADD A VEHICLE' screen, Add the vehicle VIN  via Optical Character Recognition(OCR) to the respective Bentley Account on My Bentley App when permission access camera is given to My Bentley App
My Bentley App :
( ADD A VEHICLE --&gt;  Click 'Open Camera' under 'Want to scan your VIN' section --&gt; Mobile Camera should be launched --&gt; Centre your VIN in the box displayed in Camera --&gt; VIN added to 'CONFIRM YOUR VIN' section --&gt; Click on 'CONFIRM' button --&gt; Select 'Retailer' under 'Your Bentley Retailer' section --&gt; CONFIRM --&gt; CONTINUE --&gt;  Add 'PERSONAL DATA' - First name , Last name --&gt; CONTINUE --&gt; Select 'Location'(Ex : United Kingdom) --&gt; Add 'ADDRESS'- Building , House Number , Street , City , Postal Code , Country --&gt; CONTINUE --&gt; Add 'Mobile Number' by selecting valid 'Area Code' &amp; 'Mobile Phone' --&gt; CONTINUE --&gt; Vehicle Request to add the VIN should be submitted successfully  --&gt; CONTINUE --&gt; The VIN / Vehicle should be seen in My Bentley App ) 
</t>
  </si>
  <si>
    <t>1. The customer should be able to add the VIN via Optical Character Recognition(OCR) to the respective Bentley Account successfully(i.e. The VIN / Vehicle should be seen in My Bentley App)</t>
  </si>
  <si>
    <t>• Login to My Bentley App with valid credentials
• The screen focus is in "My Bentley App - ADD A VEHICLE" page
( My Bentley App --&gt; LOGIN OR REGISTER --&gt; Email --&gt; Enter valid email id --&gt; NEXT --&gt; Enter the Password --&gt; NEXT --&gt; Vehicle "DASHBOARD" Screen --&gt; Scroll to "ADD A VEHICLE" Screen )
• Permission to access camera is not given to My Bentley App</t>
  </si>
  <si>
    <t>Add VIN - Optical Character Recognition(OCR) - 'ADD A VEHICLE' Screen - Camera Permission - Not Given :
1. In 'ADD A VEHICLE' screen, Add the vehicle VIN  via Optical Character Recognition(OCR) to the respective Bentley Account on My Bentley App when permission access camera is not given to My Bentley App
My Bentley App  : 
( ADD A VEHICLE screen --&gt; Click on 'ADD A VEHICLE' button --&gt; Click 'Go to settings' under 'Want to scan your VIN' section(i.e. Permission to access camera is not given to My Bentley App) --&gt; Give access to 'Camera' under 'My Bentley App - Mobile Settings' --&gt; Go to 'ADD A VEHICLE - VEHICLE DETAILS' screen --&gt; Click 'Open Camera' under 'Want to scan your VIN' section --&gt; Mobile Camera should be launched --&gt; Centre your VIN in the box displayed in Camera --&gt; VIN added to 'CONFIRM YOUR VIN' section --&gt; Click on 'CONFIRM' button --&gt; Select 'Retailer' under 'Your Bentley Retailer' section --&gt; CONFIRM --&gt; CONTINUE --&gt;  Add 'PERSONAL DATA' - First name , Last name --&gt; CONTINUE --&gt; Select 'Location'(Ex : United Kingdom) --&gt; Add 'ADDRESS'- Building , House Number , Street , City , Postal Code , Country --&gt; CONTINUE --&gt; Add 'Mobile Number' by selecting valid 'Area Code' &amp; 'Mobile Phone' --&gt; CONTINUE --&gt; Vehicle Request to add the VIN should be submitted successfully  --&gt; CONTINUE --&gt; The VIN / Vehicle should be seen in My Bentley App )</t>
  </si>
  <si>
    <t>1a. The VIN Scanning via Optical Character Recognition(OCR) - 'Open Camera' link should be replaced with 'Go to settings' link to the respective Bentley Account when access to camera is denied(i.e. Until unless the permission for accessing camera to My Bentley App is not given via mobile settings)
1b. The customer should be able to add the VIN via Optical Character Recognition(OCR) to the respective Bentley Account successfully(i.e. The VIN / Vehicle should be seen in My Bentley App) after giving access to Camera via My Bentley App</t>
  </si>
  <si>
    <t>Verify validating 'Locating your VIN' option under 'ADD A VEHICLE' Screen</t>
  </si>
  <si>
    <t xml:space="preserve">Add VIN - Optical Character Recognition(OCR) -  'ADD A VEHICLE' Screen - Camera Permission - Given :
1. In 'ADD A VEHICLE' screen, Click on 'Locating your VIN' option and Observe
My Bentley App : 
( ADD A VEHICLE screen --&gt; Click on 'ADD A VEHICLE' button --&gt; Locating your VIN ) 
</t>
  </si>
  <si>
    <t xml:space="preserve">1. The customer should be educated with a message about locating the VIN on vehicle(i.e. Locating your VIN followed with msg on where to locate it in vehicle + 'OK' softkey) </t>
  </si>
  <si>
    <t>Verify manually entering of 'Emoji's' / 'Special Characters' under VIN section</t>
  </si>
  <si>
    <t xml:space="preserve">Add VIN - Manual ('VIN' field - Emoji's / Special Characters) :
1. In 'ADD A VEHICLE' screen, Manually try entering the 'Emoji's' / 'Special Characters' under VIN section
My Bentley App  : 
( ADD A VEHICLE screen --&gt; Click on 'ADD A VEHICLE' button --&gt; VIN field --&gt; Try to manually enter 'Emoji's' / 'Special Characters' under VIN section --&gt; Check whether Customer is allowed to add 'Emoji's' / 'Special Characters' under VIN section ) 
</t>
  </si>
  <si>
    <t>1. The customer should not be allowed to enter 'Emoji's' / 'Special Characters' under VIN section in My Bentley App</t>
  </si>
  <si>
    <t xml:space="preserve">Verify vehicle request email received to the registered email address and vehicle added in 'DASHBOARD' screen of My Bentley App after successfull submission of adding VIN request sent </t>
  </si>
  <si>
    <t>VIN add request submitted - DASHBOARD screen : 
1. Check whether vehicle request email received to the registered email address and vehicle added in 'DASHBOARD' screen of My Bentley App after successfull submission of adding VIN request sent 
My Bentley App : 
( ADD A VEHICLE screen --&gt; Click on 'ADD A VEHICLE' button --&gt; VIN field --&gt; Manually Enter Valid VIN / Add VIN via OCR functionality  --&gt; Add Preferred Retailer --&gt; Submit the request for adding VIN --&gt;Vehicle Request to add the VIN should be sent successfully --&gt; CONTINUE --&gt; Go to vehicle DASHBOARD screen )</t>
  </si>
  <si>
    <t>1. The customer should be able to see the vehicle request email received to the registered email address after successfull submission of adding VIN request sent via My Bentley App
2. Vehicle should be successfully added in 'DASHBOARD' screen of My Bentley App
(Note : Once your Bentley has been validated, your next steps will be in  (3 - Set your SPIN ; 4 - Set your Primary User + infomatory i-icon)</t>
  </si>
  <si>
    <t>App Registration Pages</t>
  </si>
  <si>
    <t xml:space="preserve">Ensure that below preconditions are met before start the testing for this service
• Vehicle is connected to network 
• Primary registration process is successfully completed. 
• “My Bentley in Car Services' and 'My Bentley Remote Services' license is valid and in use
• Please set these for My Bentley Development App when testing on ODP setup : Under 'BACKEND &amp; MOCK DATA' screen(Launch My Bentley App &amp; Tap for 6 times)
                       1. Set 'MSG Deployment' = 'APP(Approval)' / 'LIVE(Live)' 
                       2. Set 'Support ODP / invocation URLs' = 'Enable(ODP)'
                       3. Set 'Login Method' = 'idk(IDK - Solution)' / 'ping(PING - Solution)'  </t>
  </si>
  <si>
    <t>Verify Account SignUp cannot proceed unless user accepts the 'TERMS AND PRIVACY'</t>
  </si>
  <si>
    <t>Bentley ID Registration Page Process : 
1. Registering to Bentley ID :  Check whether Customer is not able to sign up for Bentley ID without accepting 'TERMS AND PRIVACY' during the sign up process
( My Bentley App --&gt; LOGIN OR REGISTER --&gt; Email --&gt; Create Account --&gt; NEXT --&gt; Enter Password which matches criteria --&gt; CREATE --&gt; DECLINE('TERMS AND PRIVACY')</t>
  </si>
  <si>
    <t>1. If a user is signing up for the first time, App should automatically display the 'TERMS AND PRIVACY' popup  with 'ACCEPT' &amp; 'DECLINE' options.User should not be allowed to proceed further in signingup process for Bentley ID until and unless user accepts the 'TERMS AND PRIVACY'</t>
  </si>
  <si>
    <t xml:space="preserve">Verify signing up for a new Bentley ID along with verifying signin cannot be proceeded unless user accepts the T&amp;C and then adding VIN </t>
  </si>
  <si>
    <t>Bentley ID Registration Page Process : 
1. Registering to Bentley ID :  Check whether Customer able to sign up for Bentley ID without any issues
( My Bentley App --&gt; LOGIN OR REGISTER --&gt; Email --&gt; Create Account --&gt; NEXT --&gt; Enter Password which matches criteria --&gt; CREATE --&gt; ACCEPT('TERMS AND PRIVACY') --&gt;  RETURN TO LOGIN )
2. Log In to Bentley ID when email address used for logging in to My Bentley App is not verified : Check for Log In to Bentley ID with valid credentials after successfull sign up
( My Bentley App --&gt; LOGIN OR REGISTER --&gt; Email --&gt; Enter valid email id --&gt; NEXT --&gt; Enter the Password --&gt; NEXT )
3. Email Address verification : Verify the email address sent to the registered email account
4. Log In to Bentley ID after successfull verification of email address used for logging in to My Bentley App : Check for Log In to Bentley ID with valid credentials after successfull sign up
( My Bentley App --&gt; LOGIN OR REGISTER --&gt; Email --&gt; Enter valid email id --&gt; NEXT --&gt; Enter the Password --&gt; NEXT )
5. Allow Access : Select 'ALLOW' button to access'Basic profile' , 'Address' , 'Phone' , 'Vehicle identification number' , 'Nationality' , 'My cars' , 'My dealers'
6. My Bentley Terms and Privacy : Accept the 'TERMS AND CONDITIONS' , 'TERMS OF USE' and 'PRIVACY POLICY'
7. 
a. EU &amp; NAR : 
Adding VIN : ( My Bentley App --&gt; ADD A VEHICLE (In 'DASHBOARD - ADD A VEHICLE' page) --&gt; Manually add the VIN under 'Enter VIN manually' section --&gt; CONFIRM --&gt; Select 'Retailer' under 'Your preferred Bentley retailer' section --&gt; CONFIRM --&gt;  CONTINUE --&gt; Add 'YOUR DETAILS' - First name , Last name --&gt; CONTINUE --&gt; Select 'Location'(Ex : United Kingdom) --&gt; Add 'YOUR ADDRESS'- Building , House Number, City , Postal Code , Country --&gt; CONTINUE --&gt; Add 'Mobile Number' by selecting valid 'Area Code' &amp; 'Mobile Phone' --&gt; CONTINUE --&gt; Vehicle Request to add the VIN should be submitted successfully --&gt; CONTINUE --&gt; The VIN / Vehicle should be seen in My Bentley App DASHBOARD screen ) 
b. CHN : 
Adding VIN : ( My Bentley App --&gt; ADD A VEHICLE (In 'DASHBOARD - ADD A VEHICLE' page) --&gt; Manually add the VIN under 'Enter VIN manually' section --&gt; CONFIRM --&gt; Select 'Retailer' under 'Your preferred Bentley retailer' section --&gt; CONFIRM --&gt;  CONTINUE --&gt; Add 'YOUR DETAILS' - First name , Last name --&gt; CONTINUE --&gt; Select 'Location'(Ex : China) --&gt; Add 'YOUR ADDRESS'- House Number, City , Postal Code , Country --&gt; CONTINUE --&gt; Add 'Mobile Number' by selecting valid 'Area Code' &amp; 'Mobile Phone' --&gt; CONTINUE --&gt; Vehicle Request to add the VIN should be submitted successfully  --&gt; CONTINUE --&gt; After successfull RNR check confirmation from Call Centre Agent --&gt; The VIN / Vehicle should be seen in My Bentley App DASHBOARD screen ) 
8. Set SPIN : In DASHBOARD Screen, Under 'SET YOUR SPIN' section try setting the SPIN
(Click on 'SET MY SPIN' --&gt; Enter 4 digit numeric PIN under 'New Pin' &amp; 'Enter new PIN again' sections  --&gt; SET PIN  )
9. My Bentley App : Try accessing My Bentley App Remote Services(Ex : Vehicle Status , Remote Lock/Unlock)</t>
  </si>
  <si>
    <t>1. Registering to Bentley ID : Customer should be able to successfully sign up for Bentley ID
2. Log In to Bentley ID : Log In to Bentley ID should not be successfull since email address used for logging in to My Bentley App is not verified
3. Email Address verification : The email address should be verified successfully(i.e. 'EMAIL VERIFIED' message to be displayed upn email successfull verification)
4. Log In to Bentley ID : 'Bentley-Allow access' screen should be launched requesting user to allow or deny access to 'Basic profile' , 'Address' , 'Phone' , 'Vehicle identification number' , 'Nationality' , 'My cars' , 'My dealers'
5. Allow Access : Access to the 'Basic profile' , 'Address' , 'Phone' , 'Vehicle identification number' , 'Nationality' , 'My cars' , 'My dealers' is given to My Bentley App successfully without any issues
6. My Bentley Terms and Privacy : My Bentley App 'TERMS AND CONDITIONS' , 'TERMS OF USE' and 'PRIVACY POLICY' should be accepted and finally logged in to the App successfully 
7a. Adding VIN [EUR &amp; NAR] : The vehicle should be added to the respective Bentley ID successfully(i.e. The VIN / Vehicle should be seen in My Bentley App DASHBOARD screen)
7b. Adding VIN [CHN] : The vehicle should be added to the respective Bentley ID successfully after RNR check approved by Call Centre Agent(i.e. The VIN / Vehicle should be seen in My Bentley App DASHBOARD screen)
8. Set SPIN : 4-digit numeric SPIN should be set successfully without any issues
9. My Bentley App : My Bentley App Remote Services should be accessible(Ex : Vehicle Status , Remote Lock/Unlock)</t>
  </si>
  <si>
    <t>Verify logging in to Bentley ID with Valid Email ID</t>
  </si>
  <si>
    <t>1. Check whether Customer is able to Log In to Bentley ID via Email ID
( My Bentley App --&gt; LOGIN OR REGISTER --&gt; Email --&gt; Enter valid email id --&gt; NEXT --&gt; Enter the Password --&gt; NEXT )</t>
  </si>
  <si>
    <t>1. Log In to Bentley ID via email id should be successfull</t>
  </si>
  <si>
    <t>Verify logging out from Bentley ID</t>
  </si>
  <si>
    <t>• Log In to My Bentley App with valid credentials</t>
  </si>
  <si>
    <t xml:space="preserve">1. Check whether Customer able to Log Out from Bentley ID
( Vehicle 'DASHBOARD' Screen --&gt; Select User Profile icon(i.e. Extreme Right Icon in footer) --&gt; General --&gt; Log out ) </t>
  </si>
  <si>
    <t>1. Log Out from Bentley ID should be successfull</t>
  </si>
  <si>
    <t>Verify password resetting via My Bentley App</t>
  </si>
  <si>
    <t>• Login to My Bentley App with valid credentials and the Screen Focus in on Dashboard Page</t>
  </si>
  <si>
    <t>1. Check password can be reset successfully via My Bentley App
( Vehicle 'DASHBOARD' Screen --&gt; Select User Profile icon(i.e. Extreme Right Icon in footer) --&gt; Account --&gt; Reset Password --&gt; RESET)
2. Select 'SET NEW PASSWORD' or 'Password reset link' and Observe
3. Under Bentley ID Web Portal ,  Enter Password which matches the criteria and click on 'SAVE PASSWORD' option
4. Re-Log in to My Bentley App using changed password (Password does not need to be rememeberd matter as account will be deleted)</t>
  </si>
  <si>
    <t>1. Bentley ID Reset your password email should be sent to user registered email address containing
a. 'SET NEW PASSWORD' option.
b. 'Password reset link'
2. User should be allowed to enter the new password for the Bentley ID along with 'SAVE PASSWORD' option under Bentley ID Web Portal
3. Password successfully changed confirmation should be displayed to use
4. Customer should be able to LogIn in successfully using the changed password. Old Password is not valid anymore.</t>
  </si>
  <si>
    <t>Verify that vehicle is added to the account after successful registration</t>
  </si>
  <si>
    <t>1. After Registration successful , Check whether Vehicle is added to Bentley ID successfully 
( My Bentley App --&gt; LOGIN OR REGISTER --&gt; Email --&gt; Enter valid email id --&gt; NEXT --&gt; Enter the Password --&gt; NEXT )</t>
  </si>
  <si>
    <t>1. Log In to Bentley ID should be successful and vehicle details should be displayed</t>
  </si>
  <si>
    <t>Verify permanent account deletion via My Bentley App</t>
  </si>
  <si>
    <t>1. Check Account can be deleted permanentley via My Bentley App
(Vehicle 'DASHBOARD' Screen --&gt; Select User Profile icon(i.e. Extreme Right Icon in footer) --&gt; Account --&gt; Delete Account --&gt; DELETE)
2. Select 'Cancel Bentley ID here'option and Observe
3. Select the tick box followed with selecting 'CONTINUE WITH' 
4. Enter the password for account deletion along with selecting 'DELETE ACCOUNT' button and Observe</t>
  </si>
  <si>
    <t>1. 'Delete Account' screen should be launched with description containing related information along with the below options 
a. 'Cancel Bentley ID here' option
b. 'BACK' button : Clicking on it takes focus to BENTLEY ID screen displaying details of 'Personal data'(Name, Nickname, Date of birth, Address) , 'Contact Info'(Email, Phone) 'Connected apps'(My Bentley App) , 'Account settings'(Password, Language, Delete User Account) , 'Privacy' and 'Logout'
2. Confirmation message related to cancelling the Bentley ID contract should be displayed along with
a. Tick box selection to cancel the Bentley ID contract 
b.'CANCEL' button
c. 'CONTINUE WITH' button
3. The Screen focus should go to 'Delete Account' Screen to enter the password to confirm the account deletion with 'Delete Account' and 'Cancel' buttons to choose
4. The account should be deleted permanently and an email related to confirmation of bentley id deletion message should be displayed to user.(Ex : As requested, we have deleted your Bentley ID. This means that you can no longer log into the My Bentley app and access any of the available services)</t>
  </si>
  <si>
    <t>App Log in-Log out</t>
  </si>
  <si>
    <t>Ensure that below preconditions are met before starting the testing of this service
• My Bentley app should be installed in the mobile</t>
  </si>
  <si>
    <t>Verifying MyBentley App login with valid password</t>
  </si>
  <si>
    <t>• The screen focus is in "My Bentley App - LOGIN OR REGISTER" page
( My Bentley App -- &gt; LOGIN OR REGISTER )</t>
  </si>
  <si>
    <t>• VIN / Vehicle added to Bentley Account
• Primary User Nomination done in Vehicle HMI successfully</t>
  </si>
  <si>
    <t>1. In My Bentley App page, click 'LOGIN OR REGISTER' button
2. In 'LOGIN OR REGISTER' page, Enter Email &amp; valid Password and click 'NEXT' button</t>
  </si>
  <si>
    <t>1. In 'LOGIN OR REGISTER' page, Email &amp; Password option should be displayed for user to enter
2. Vehicle DASHBOARD Screen launched displaying Vehicle Image and Vehicle Status Information</t>
  </si>
  <si>
    <t>Verifying cancelling MyBentley App logout</t>
  </si>
  <si>
    <t>• The screen focus is in "My Bentley App - LogOut Confirmation" popup window
( My Bentley App --&gt; LOGIN OR REGISTER --&gt; Email --&gt; Enter valid email id --&gt; NEXT --&gt; Enter the Password --&gt; NEXT --&gt; Vehicle "DASHBOARD" Screen --&gt; Profile --&gt; General --&gt; Log out --&gt; Log out )</t>
  </si>
  <si>
    <t xml:space="preserve">1. Click 'Cancel' button in the popup received </t>
  </si>
  <si>
    <t>1. The popup will close and screen will remain on 'General' tab</t>
  </si>
  <si>
    <t>Verifying successful MyBentley App logout</t>
  </si>
  <si>
    <t>• The screen focus is in "My Bentley App - DASHBOARD" page
( My Bentley App --&gt; LOGIN OR REGISTER --&gt; Email --&gt; Enter valid email id --&gt; NEXT --&gt; Enter the Password --&gt; NEXT --&gt; Vehicle "DASHBOARD" Screen )</t>
  </si>
  <si>
    <t>1. Click Profile icon(i.e. Present as the last option in the footer tab) 
2. In Profile page, Click 'General' tab
3. In 'General' tab, Click 'Log out' link
4. Click 'Log out' button in the popup received</t>
  </si>
  <si>
    <t xml:space="preserve">1. Profile page should be launched displaying tabs
a. My Details 
b. Account
c. General 
2. 'General' tab should be launched displaying :
a. Vehicle connection option
b. Bentley Applications option (Not Applicable for Android)
c. Contact option
d. Log Out link
3. A popup message - 'Do you really want to log out? - Your saved favourites will be lost'  with 'Cancel' and 'Log out' buttons displayed
4. MyBentley app Login or signup page should be launched displaying 'LOGIN OR REGISTER' and 'DISCOVER MY BENTLEY' buttons
</t>
  </si>
  <si>
    <t>Verifying MyBentley App login with invalid password</t>
  </si>
  <si>
    <t>1. In My Bentley App page, click 'LOGIN OR REGISTER' button
2. In 'LOGIN OR REGISTER' page, Enter Email &amp; invalid Password and click 'NEXT' button</t>
  </si>
  <si>
    <t>1. In 'LOGIN OR REGISTER' page, Email &amp; Password option should be displayed for user to enter
2. Invalid password error message(Ex : Sorry, wrong password. Please try again) to be displayed</t>
  </si>
  <si>
    <t>Verifying MyBentley App login when no network</t>
  </si>
  <si>
    <t>1. In My Bentley App page, click 'LOGIN OR REGISTER' button</t>
  </si>
  <si>
    <t>1. Error Message - Login failed - Network error : The internet connection appears to be offline similar kind of message should be displayed</t>
  </si>
  <si>
    <t>Verifying successful MyBentley App logout when no network</t>
  </si>
  <si>
    <t>1. Go to no network area(Ex  : Enable Flight Mode on mobile device)
2. Click Profile icon(i.e. Present as the last option in the footer tab) 
3. In Profile page, click General tab
4. In General tab, Click 'Log out' link
5. Click 'Log out' button in the popup received</t>
  </si>
  <si>
    <t xml:space="preserve">1. Flight Mode is enabled
2. Profile page should be launched displaying tabs
a. My Details 
b. Account
c. General 
3. 'General' tab should be launched displaying :
a. Vehicle connection option
b. Bentley Applications option (Not Applicable for Android)
c. Contact option
d. Log Out link
4. A popup message - 'Do you really want to log out? - Your saved favourites will be lost'  with 'Cancel' and 'Log out' buttons displayed
5. MyBentley app Login or signup page should be launched displaying 'LOGIN OR REGISTER' and 'DISCOVER MY BENTLEY' buttons
</t>
  </si>
  <si>
    <t>Nickname</t>
  </si>
  <si>
    <t>Ensure that below preconditions are met before starting the testing of this service
• My Bentley app should be installed in the mobile
• Vehicle is connected to network 
• Primary user registration process is completed successfully</t>
  </si>
  <si>
    <t>Verifying default vehicle name displayed under 'VEHICLE DETAILS' Screen</t>
  </si>
  <si>
    <t>• The screen focus is in "My Bentley App - VEHICLE DETAILS" page
( My Bentley App --&gt; LOGIN OR REGISTER --&gt; Email --&gt; Enter valid email id --&gt; NEXT --&gt; Enter the Password --&gt; NEXT --&gt; Vehicle "DASHBOARD" Screen --&gt; Click on "i-icon" present at top right corner of screen )</t>
  </si>
  <si>
    <t>1. In 'VEHICLE DETAILS' screen check for default vehicle name &amp; screen title being displayed</t>
  </si>
  <si>
    <t>'VEHICLE DETAILS' Screen launched displaying default Vehicle name(i.e. Default name for BY636 =  Bentayga)</t>
  </si>
  <si>
    <t>Verifying default vehicle name displayed under 'DASHBOARD' Screen</t>
  </si>
  <si>
    <t>1. In 'DASHBOARD' screen check for default vehicle name &amp; screen title being displayed</t>
  </si>
  <si>
    <t>'DASHBOARD' Screen should display the default Vehicle name(i.e. Default name for BY636 =  Bentayga)</t>
  </si>
  <si>
    <t>Verify 'SAVE' button disabled until edit is made in VEHICLE NAME field [ Nickname not added ]</t>
  </si>
  <si>
    <t xml:space="preserve">• The screen focus is in "My Bentley App - DASHBOARD" page
( My Bentley App --&gt; LOGIN OR REGISTER --&gt; Email --&gt; Enter valid email id --&gt; NEXT --&gt; Enter the Password --&gt; NEXT --&gt; Vehicle "DASHBOARD" Screen )
• Nickname to vehicle is not added </t>
  </si>
  <si>
    <t>1. In vehicle 'DASHBOARD' screen, Click on 'i-icon' present at top right corner of screen
2. Click on 'Edit' button in VEHICLE DETAILS screen
3. Check for 'SAVE' button when nothing is edited in vehicle name field
4. Now edit the vehicle name field and observe the 'SAVE' button</t>
  </si>
  <si>
    <t>1. VEHICLE DETAILS screen should be launched displaying 
a. Vehicle Name(Default Name for BY636 = Bentayga)
b. Edit button
2. VEHICLE NAME screen should be launched where user is allowed to edit the vehicle name
3. 'SAVE' button should be disabled until edit is made in VEHICLE NAME field
4.  'SAVE' button should be enabled when edit is made in VEHICLE NAME field</t>
  </si>
  <si>
    <t>Verify editing nickname in My Bentley App</t>
  </si>
  <si>
    <t>1. In vehicle 'DASHBOARD' screen, Click on 'i-icon' present at top right corner of screen
2. Click on 'Edit' button in VEHICLE DETAILS screen
3. Edit the vehicle name followed with 'SAVE' button
4. Now go to VEHICLE DETAILS screen and check whether the newly added nickname being displayed</t>
  </si>
  <si>
    <t>1. VEHICLE DETAILS screen should be launched displaying 
a. Vehicle Name(Default Name for BY636 = Bentayga)
b. Edit button
2. VEHICLE NAME screen should be launched where user is allowed to edit the vehicle name
3. Vehicle Nickname should be easily editable and saved successfully in VEHICLE DETAILS screen
4. Newly added vehicle nickname should be displayed in VEHICLE DETAILS screen(i.e. Screen Tiltle , Vehicle name section) as well as in DASHBOARD screen</t>
  </si>
  <si>
    <t>Verify 'SAVE' button disabled until edit is made in VEHICLE NAME field [ Nickname added ]</t>
  </si>
  <si>
    <t xml:space="preserve">• The screen focus is in "My Bentley App - DASHBOARD" page
( My Bentley App --&gt; LOGIN OR REGISTER --&gt; Email --&gt; Enter valid email id --&gt; NEXT --&gt; Enter the Password --&gt; NEXT --&gt; Vehicle "DASHBOARD" Screen )
• Nickname to vehicle is added </t>
  </si>
  <si>
    <t>1. VEHICLE DETAILS screen should be launched displaying 
a. Vehicle Name(Nickname for BY636 = Bentayga123)
b. Edit button
2. VEHICLE NAME screen should be launched where user is allowed to edit the vehicle name
3. 'SAVE' button should be disabled until edit is made in VEHICLE NAME field
4.  'SAVE' button should be enabled when edit is made in VEHICLE NAME field</t>
  </si>
  <si>
    <t>Verifying max of 19 characters can be added while editing nickname in My Bentley App</t>
  </si>
  <si>
    <t>1. In vehicle 'DASHBOARD' screen, Click on 'i-icon' present at top right corner of screen
2. Click on 'Edit' button in VEHICLE DETAILS screen
3. Edit the vehicle name and check whether max of 16 characters allowed 
4. Click on 'SAVE' button</t>
  </si>
  <si>
    <t>1. VEHICLE DETAILS screen should be launched displaying 
a. Vehicle Name(Default Name for BY636  = Bentayga)
b. Edit button
2. VEHICLE NAME screen should be launched where user is allowed to edit the vehicle name
3. Vehicle Nickname should be easily editable and max of 19 characters should be allowed
4. Vehicle nickname should save successfully in VEHICLE DETAILS screen</t>
  </si>
  <si>
    <t>Verifying special characters and emoji's can be saved as nickname in My Bentley App</t>
  </si>
  <si>
    <t>1. In vehicle 'DASHBOARD' screen, Click on 'i-icon' present at top right corner of screen
2. Click on 'Edit' button in VEHICLE DETAILS screen
3. Edit the vehicle name and check whether special characters(Ex : &amp; , £ , $ ...etc.) and emoji's are allowed 
4. Click on 'SAVE' button
5. Now go to vehicle DASHBOARD screen and check whether the newly added nickname being displayed</t>
  </si>
  <si>
    <t>1. VEHICLE DETAILS screen should be launched displaying 
a. Vehicle Name(Default Name for BY636  = Bentayga)
b. Edit button
2. VEHICLE NAME screen should be launched where user is allowed to edit the vehicle name
3. Vehicle Nickname should be easily editable and should  allow to add special characters(Ex : &amp; , £ , $ ...etc.) and emoji's
4. Vehicle nickname should save successfully in VEHICLE DETAILS screen
5. Vehicle nickname special characters(Ex : &amp; , £ , $ ...etc.) and emoji's should be displayed in VEHICLE DETAILS screen(i.e. Screen Tiltle , Vehicle name section) as well as in DASHBOARD screen</t>
  </si>
  <si>
    <t>Verify vehicle nickname cannot be saved with input as 'Space'</t>
  </si>
  <si>
    <t xml:space="preserve">1. In vehicle 'DASHBOARD' screen, Click on 'i-icon' present at top right corner of screen
2. Click on 'Edit' button in VEHICLE DETAILS screen
3. Just enter space and try to save as vehicle nick name </t>
  </si>
  <si>
    <t>1. VEHICLE DETAILS screen should be launched displaying 
a. Vehicle Name(Default Name for BY636 = Bentayga)
b. Edit button
2. VEHICLE NAME screen should be launched where user is allowed to edit the vehicle name
3. 'SAVE' button should be disabled (i.e. Vehicle nickname cannot be saved with space as an input)</t>
  </si>
  <si>
    <t xml:space="preserve">Verify displaying of recently edited vehicle nickname after re-login to My Bentley App </t>
  </si>
  <si>
    <t xml:space="preserve">• The screen focus is in "My Bentley App - DASHBOARD" page
( My Bentley App --&gt; LOGIN OR REGISTER --&gt; Email --&gt; Enter valid email id --&gt; NEXT --&gt; Enter the Password --&gt; NEXT --&gt; Vehicle "DASHBOARD" Screen </t>
  </si>
  <si>
    <t>1. In vehicle 'DASHBOARD' screen, Click on 'i-icon' present at top right corner of screen
2. Click on 'Edit' button in VEHICLE DETAILS screen
3. Edit the vehicle name followed with 'SAVE' button
4. Logout from My Bentley App
(Profiles --&gt; General --&gt; Logout)
5. Re-Login to My Bentley App and check for vehicle nickname In vehicle 'DASHBOARD' screen</t>
  </si>
  <si>
    <t>1. VEHICLE DETAILS screen should be launched displaying 
a. Vehicle Name(Default Name for BY636 = Bentayga)
b. Edit button
2. VEHICLE NAME screen should be launched where user is allowed to edit the vehicle name
3. Vehicle Nickname should be easily editable and saved successfully in VEHICLE DETAILS screen
4. Logout from My Bentley App should be successfull
5. Recently edited Vehicle Nickname should be displayed properly after successfull login to My Bentley App in vehicle VEHICLE DETAILS screen(i.e. Screen Tiltle , Vehicle name section) as well as in DASHBOARD screen</t>
  </si>
  <si>
    <t>Services and licenses</t>
  </si>
  <si>
    <t>Ensure that below preconditions are met before start the testing for this service
• Vehicle is connected to network 
• Primary registration process is successfully completed. 
• PHEV Vehicle is preferred for testing(i.e. for testing 'My Cabin Comfort' , 'My Battery Charge' &amp; 'My Car Statistics')
• 'Activate Heating' is an optional feature in vehicle, If the vehicle is fitted with Remote Park Heater ECU then only we can test it in Vehicle(Not Applicable : NAR &amp; CHN)
• Login to My Bentley App with valid credentials</t>
  </si>
  <si>
    <t>Verify 'My Bentley remote services' license display in HMI</t>
  </si>
  <si>
    <t>1. Validating 'My Bentley remote services' license and its contents via HMI
(HMI Home Screen --&gt; General --&gt; Settings --&gt; License Periods --&gt; My Bentley remote services)</t>
  </si>
  <si>
    <t>'My Bentley remote services' license screen should display :
1. Screen title as 'My Bentley remote services'
2. List of My Bentley Remote Services license should be displayed :
a.) Activate heating (Not Applicable : NAR &amp; CHN)
b.) Find my car
c.) Lock my car
d.) My battery charge (PHEV Only)
e.) My cabin comfort (PHEV Only)
f.) My car statistics (PHEV Only)
g.) My car status
h.) Remote departure time programming
i.) Theft alert (Not Applicable : NAR &amp; CHN)
j.) Perimeter alert (Applicable only for NAR)
k.) Speed alert (Applicable only for NAR)
l.) Valet alert (Applicable only for NAR)
m.) Activate lights and horn (Applicable only for CHN)</t>
  </si>
  <si>
    <t>Verify 'My Bentley remote services' license validity in HMI</t>
  </si>
  <si>
    <t>1. Check for 'My Bentley remote services' license validity via HMI
(HMI Home Screen --&gt; General --&gt; Settings --&gt; License Periods --&gt; My Bentley remote services)</t>
  </si>
  <si>
    <t xml:space="preserve">'My Bentley remote services' license screen should display a 3-Year license
(Please Note: As per the latest design implementation , Any license on the vehicle that is longer than 3 years does not have an expiry date license just displays the validity status as “Active”) </t>
  </si>
  <si>
    <t>Verify 'Roadside Assistance' license validity in HMI</t>
  </si>
  <si>
    <t>1. Check for 'Roadside Assistance' license validity via HMI
(HMI Home Screen --&gt; General --&gt; Settings --&gt; License Periods --&gt; Roadside assistance call)</t>
  </si>
  <si>
    <t xml:space="preserve">'Roadside assistance call' license screen should display a 3-Year license
(Please Note: As per the latest design implementation , Any license on the vehicle that is longer than 3 years does not have an expiry date license just displays the validity status as “Active”) </t>
  </si>
  <si>
    <t>Verify 'SERVICES AND LICENSES' screen and it's content in My Bentley App</t>
  </si>
  <si>
    <t>• "Dashboard" screen is in focus
( My Bentley App --&gt; LOGIN OR REGISTER --&gt; Email --&gt; Enter valid email id --&gt; NEXT --&gt; Enter the Password --&gt; NEXT --&gt; Vehicle "DASHBOARD" Screen )</t>
  </si>
  <si>
    <t>• Primary User Nomination is done successfully
• VTS Activation done successfully(Only UK)</t>
  </si>
  <si>
    <t>1.In DASHBOARD Screen 
(Vehicle Image + Vehicle Status Information + Vehicle Information Icon(i) need to be displayed at right top corner of screen)
2. Select 'i' icon --&gt; Services and licenses  and observe</t>
  </si>
  <si>
    <t>Selecting 'Services and licenses' displays the List of below mentioned licenses
- Green traffic light prediction (License Validity : 3 Years)
- My Bentley in-car services (License Validity : 3 Years)
- My Bentley remote services (License Validity : 3 Years)
- Private e-call (License Validity : &gt; 3 Years)
- Roadside assistance call (License Validity : 3 Years)
- Vehicle tracking system (License Validity : 3 Years)(Applicable only for EUR)</t>
  </si>
  <si>
    <t>Verify 'GREEN TRAFFIC LIGHT PREDICTION' screen and it's content in My Bentley App</t>
  </si>
  <si>
    <t>• Primary User Nomination is done successfully</t>
  </si>
  <si>
    <t>1.In DASHBOARD Screen 
(Vehicle Image + Vehicle Status Information + Vehicle Information Icon(i) need to be displayed at right top corner of screen)
2. Select 'i' icon --&gt; Services and licenses --&gt;  Green traffic light prediction</t>
  </si>
  <si>
    <t>Selecting 'Green traffic light prediction' displays : 
- Screen Title : GREEN TRAFFIC LIGHT PREDICTION
- License is valid until : 3 Years
- Services : Green traffic light prediction</t>
  </si>
  <si>
    <t>Verify 'MY BENTLEY IN-CAR SERVICES' screen and it's content in My Bentley App</t>
  </si>
  <si>
    <t>1.In DASHBOARD Screen 
(Vehicle Image + Vehicle Status Information + Vehicle Information Icon(i) need to be displayed at right top corner of screen)
2. Select 'i' icon --&gt; Services and licenses --&gt;  My Bentley in-car services</t>
  </si>
  <si>
    <t>Selecting 'My Bentley in-car services' displays : 
- Screen Title : MY BENTLEY IN-CAR SERVICES
- License is valid until : 3 Years
- Services : 
1. Local hazard information (EUR)
2. Map update 
3. Natural speech interaction
4. News
5. Online POI search
6. Online radio (Includes Hybrid Radio)
7. Real-time traffic information
8. Remote destination import
9. Satellite map
10. Song recognition
11. Traffic sign recognition(EUR)
12. Weather
13. SiriusXM(Only NAR)
14. Personal Navigation Assistant (POI via CC) (Only China)</t>
  </si>
  <si>
    <t>Verify 'MY BENTLEY REMOTE SERVICES' screen and it's content in My Bentley App</t>
  </si>
  <si>
    <t>1.In DASHBOARD Screen 
(Vehicle Image + Vehicle Status Information + Vehicle Information Icon(i) need to be displayed at right top corner of screen)
2. Select 'i' icon --&gt; Services and licenses --&gt;  My Bentley remote services</t>
  </si>
  <si>
    <t>Selecting 'My Bentley remote services' displays : 
- Screen Title : MY BENTLEY REMOTE SERVICES
- License is valid until : 3 Years
- Services : 
1. Activate heating (w.r.t. Vehicle capability)
2. Find my car
3. Lock my car
4. My car status
5. My battery charge
6. My cabin comfort
7. My car statistics
8. Remote departure time programming
9. Theft alert (Only EUR)
10. Stolen Vehicle Locator/Finder(NAR, China)
11. Speed alert (NAR)
12. Valet alert (NAR)
13. Geofence (NAR)
14. Remote Honk &amp; Flash (China)</t>
  </si>
  <si>
    <t>Verify 'PRIVATE E-CALL' screen and it's content in My Bentley App</t>
  </si>
  <si>
    <t>1.In DASHBOARD Screen 
(Vehicle Image + Vehicle Status Information + Vehicle Information Icon(i) need to be displayed at right top corner of screen)
2. Select 'i' icon --&gt; Services and licenses --&gt;  Private e-Call</t>
  </si>
  <si>
    <t>Selecting 'Private e-Call' displays : 
- Screen Title : PRIVATE E-CALL
- License is valid until : &gt; 3 Years
- Services : Private e-Call</t>
  </si>
  <si>
    <t>Verify 'ROADSIDE ASSISTANCE CALL' screen and it's content in My Bentley App</t>
  </si>
  <si>
    <t>1.In DASHBOARD Screen 
(Vehicle Image + Vehicle Status Information + Vehicle Information Icon(i) need to be displayed at right top corner of screen)
2. Select 'i' icon --&gt; Services and licenses --&gt;  Roadside assistance call</t>
  </si>
  <si>
    <t>Selecting 'Roadside assistance call' displays : 
- Screen Title : ROADSIDE ASSISTANCE CALL
- License is valid until : 3 Years
- Services : Roadside assistance call</t>
  </si>
  <si>
    <t>EUR</t>
  </si>
  <si>
    <t>Verify 'VEHICLE TRACKING SYSTEM' screen and it's content in My Bentley App</t>
  </si>
  <si>
    <t>1.In DASHBOARD Screen 
(Vehicle Image + Vehicle Status Information + Vehicle Information Icon(i) need to be displayed at right top corner of screen)
2. Select 'i' icon --&gt; Services and licenses --&gt;  Vehicle tracking system</t>
  </si>
  <si>
    <t>Selecting 'Vehicle tracking system' displays : 
- Screen Title : VEHICLE TRACKING SYSTEM
- License is valid until : 3 Years
- Services : Vehicle tracking system</t>
  </si>
  <si>
    <t>Vehicle Status Report</t>
  </si>
  <si>
    <t>Ensure that below preconditions are met before start the testing for this service
• Vehicle is connected to network 
• Primary user registration process is completed successfully</t>
  </si>
  <si>
    <t>Access 'Vehicle Status Report(VSR)' service from Mobile App</t>
  </si>
  <si>
    <t>Validate the vehicle status after logging in to My Bentley App
( My Bentley App --&gt; LOGIN OR REGISTER --&gt; Email --&gt; Enter valid email id --&gt; NEXT --&gt; Enter the Password --&gt; NEXT --&gt; Vehicle 'DASHBOARD' Screen )</t>
  </si>
  <si>
    <t>After successful log in, a vehicle status(Ex : Remote Lock/Unlock , Doors , Windows , Sunroof , Boot , Bonnett , Light , Oil level , Oil change , Service ...etc. status) should be displayed for one specific car.
[Please Note: If the user has multiple cars assigned, he/she needs to select a specific car , before viewing the information from one. User should allowed to swipe between the cars and select the desired car and its information in the Car image tile(Garage)]</t>
  </si>
  <si>
    <t xml:space="preserve">Verify the 'Vehicle Status Report' in Dashboard screen </t>
  </si>
  <si>
    <t xml:space="preserve">Scroll up/down and Check for Vehicle status information </t>
  </si>
  <si>
    <t>Below Vehicle Status information should be displayed 
Screen Title : DASHBOARD 
• Vehicle Image 
• Vehicle Information Icon(at right top corner of screen)
• Greeting message and Date Information below vehicle image 
• Name of the vehicle 
• Last vehicle contact information 
• Remote Lock / Unlock button 
• Vehicle Lock / Unlock status
• Combined range section : 
- Total mileage(Fuel range + Electric range) need to be displayed (Ex : 109 mi)
- Fuel range need to be displayed(Ex : 81 mi)
- Electric range need to be displayed(Ex : 29 mi)
• Mileage Section:  Total mileage of car from the date of car production and till date(Ex : 37,469 mi)
• Side Lights Section : On / Off status
• Door Section : 
- Driver Door Status : Open / Close status
- Front Co Passenger Door Status : Open / Close status
- Rear Left Passenger Door Status : Open / Close status
- Rear Right Passenger Door Status : Open / Close status
- Sunroof Status : Open / Close
• Boot Status : Open / Close status
• Bonnet Status : Open / Close status
• Window Section : 
- Driver Door Window Status : Open / Close status
- Front Co Passenger Door Window Status : Open / Close status
- Rear Left Passenger Door Window Status : Open / Close status
- Rear Right Passenger Door Window Status : Open / Close status
• Oil level status (Ex : 75.0%)
• Oil Change status(Ex : due 197 d)
• Service status(Ex : due 197 d)
• Cluster Warnings Section : If any warning then it should be displayed</t>
  </si>
  <si>
    <t>Verify the status of the vehicle on refreshing the data manually (By Pulling Down the dashboard screen)</t>
  </si>
  <si>
    <t>Swipe down the Dashboard screen --&gt; Tap on “Update Vehicle Data” link from the notification pop up.</t>
  </si>
  <si>
    <t xml:space="preserve">1. The vehicle status information should be refreshed successfully
2. Value and state of each category (Combined range, fuel range, mileage, door/window/bonnet/boot, light etc.) should be matched with the data/status of the car.  
3. Last contact time and date stamp below the vehicle name tile should be refreshed accordingly and visible.
 </t>
  </si>
  <si>
    <t>Verify the status of the vehicle on refreshing the data when Ignition is Off</t>
  </si>
  <si>
    <t xml:space="preserve">• The screen focus is in "My Bentley App - DASHBOARD" page
( My Bentley App --&gt; LOGIN OR REGISTER --&gt; Email --&gt; Enter valid email id --&gt; NEXT --&gt; Enter the Password --&gt; NEXT --&gt; Vehicle "DASHBOARD" Screen )
• Ignition is Off
</t>
  </si>
  <si>
    <t xml:space="preserve">Wait for 45 Seconds --&gt; Refresh the data(i.e. Swipe down the Dashboard screen) --&gt; Tap on “Update Vehicle Data” link from the notification pop up. </t>
  </si>
  <si>
    <t xml:space="preserve">1. The vehicle status information should be refreshed successfully
2. Value and state of each category (residual range, fuel range, mileage, door/window/bonnet/boot, light etc.) should be matched with the data/status of the car.  
3. Last contact time and date stamp below the vehicle name tile should be refreshed accordingly and visible.
 </t>
  </si>
  <si>
    <t xml:space="preserve">Verify the Fuel Level and Range status of a vehicle </t>
  </si>
  <si>
    <t>• The screen focus is in Combined range section of "My Bentley App - DASHBOARD" page
( My Bentley App --&gt; LOGIN OR REGISTER --&gt; Email --&gt; Enter valid email id --&gt; NEXT --&gt; Enter the Password --&gt; NEXT --&gt; Vehicle "DASHBOARD" Screen )
• Ignition is Off</t>
  </si>
  <si>
    <t>Refresh the data(i.e. Swipe down the Dashboard screen) --&gt; Tap on “Update Vehicle Data” link from the notification pop up --&gt; Note the fuel level &amp; range values in the kombi display and compare with the values displayed under Combined range section of My Bentley App DASHBOARD page in percentage and range in miles/kms.</t>
  </si>
  <si>
    <t xml:space="preserve">1. The vehicle status information should be refreshed successfully. 
2. Fuel range and level(in %) should be matched with the data in the kombi display.
 </t>
  </si>
  <si>
    <t xml:space="preserve">Verify the SOC(State of Charge) &amp; Fuel level, range &amp; Combined Range Status of the vehicle(Applicable to PHEV Vehicle Only) </t>
  </si>
  <si>
    <t>Refresh the data(i.e. Swipe down the Dashboard screen) --&gt; Tap on “Update Vehicle Data” link from the notification pop up --&gt; Note the SOC ,Fuel level &amp; range values in the kombi display and compare with the values displayed under Combined range section of My Bentley App DASHBOARD page in percentage and range in miles/kms.</t>
  </si>
  <si>
    <t xml:space="preserve">1. The vehicle status information should be refreshed successfully. 
2. SOC, Fuel range and level(in %) should be matched with the data in the kombi display.
3. Combined range in (miles/km) should be matched with the data in the Kombi display. </t>
  </si>
  <si>
    <t xml:space="preserve">Verify the Mileage Status data of the vehicle </t>
  </si>
  <si>
    <t>• The screen focus is in Mileage section of "My Bentley App - DASHBOARD" page
( My Bentley App --&gt; LOGIN OR REGISTER --&gt; Email --&gt; Enter valid email id --&gt; NEXT --&gt; Enter the Password --&gt; NEXT --&gt; Vehicle "DASHBOARD" Screen )
• Ignition is Off</t>
  </si>
  <si>
    <t>Refresh the data(i.e. Swipe down the Dashboard screen) --&gt; Tap on “Update Vehicle Data” link from the notification pop up --&gt; Note the Mileage data under Mileage section of My Bentley App DASHBOARD page.</t>
  </si>
  <si>
    <t>1. The vehicle status information should be refreshed successfully. 
2. Total mileage driven by the vehicle should be matched with the data in the kombi display.
3. Combined range in (miles/km) should be matched with the data in the Kombi display.(Applicable to PHEV Vehcile Only)</t>
  </si>
  <si>
    <t xml:space="preserve">Verify the vehicle status report in metric unit (km/litres) </t>
  </si>
  <si>
    <t>• The screen focus is in "My Bentley App - DASHBOARD" page
( My Bentley App --&gt; LOGIN OR REGISTER --&gt; Email --&gt; Enter valid email id --&gt; NEXT --&gt; Enter the Password --&gt; NEXT --&gt; Vehicle "DASHBOARD" Screen )
• Ignition is Off</t>
  </si>
  <si>
    <t>1. Change display units in MMI/Kombi to Imperial units
2. Change display units in MMI/Kombi to Metric units in My Bentley App(Profiles --&gt; Settings --&gt; Units) --&gt; Go to App Dashboard --&gt;Check the Unit type in Range Section and Mileage section</t>
  </si>
  <si>
    <t>1. The unit of the mileage, consumption, distance and other similar fields should be changed to km/litre in MMI/Kombi
2. The App should display the Data in km/litres as set in MMI/kombi</t>
  </si>
  <si>
    <t xml:space="preserve">Verify the vehicle status report in imperial unit(Miles/Gallons) </t>
  </si>
  <si>
    <t>1. The unit of the mileage, consumption, distance and other similar fields should be changed to mile/gallon in MMI/Kombi
2. The App should display the Data in mi/gal as set in MMI/kombi</t>
  </si>
  <si>
    <t>Verify the status of the vehicle on refreshing the data when Ignition is On</t>
  </si>
  <si>
    <t xml:space="preserve">• The screen focus is in "My Bentley App - DASHBOARD" page
( My Bentley App --&gt; LOGIN OR REGISTER --&gt; Email --&gt; Enter valid email id --&gt; NEXT --&gt; Enter the Password --&gt; NEXT --&gt; Vehicle "DASHBOARD" Screen )
</t>
  </si>
  <si>
    <t>• Ignition is On</t>
  </si>
  <si>
    <t>Verify the  status of the vehicle on refreshing the data when Engine is running or Vehicle is in Motion</t>
  </si>
  <si>
    <t>• Engine is running or vehicle is in motion</t>
  </si>
  <si>
    <t>The vehicle status information should be successfully refreshed</t>
  </si>
  <si>
    <t>Verify the status of the vehicle when Driver's door is opened</t>
  </si>
  <si>
    <t>• The screen focus is in Doors section of "My Bentley App - DASHBOARD" page
( My Bentley App --&gt; LOGIN OR REGISTER --&gt; Email --&gt; Enter valid email id --&gt; NEXT --&gt; Enter the Password --&gt; NEXT --&gt; Vehicle "DASHBOARD" Screen )</t>
  </si>
  <si>
    <t>Dashboard Doors Section status :|All doors closed</t>
  </si>
  <si>
    <t>Open the Driver's door --&gt; Go to My Bentley App Dashboard --&gt; Refresh the data(i.e. Swipe down the Dashboard screen) --&gt; Tap on “Update Vehicle Data” link from the notification pop up --&gt; Scroll Down to 'Door' Section</t>
  </si>
  <si>
    <t xml:space="preserve">Last contact time and date stamp below the vehicle name tile should be refreshed and Dashboard Door Section status should be
• Driver Door: Opened
• Front Co Passenger Door: Closed
• Rear Left Passenger Door: Closed
• Rear Right Passenger Door: Closed.  
 </t>
  </si>
  <si>
    <t>Verify the status of the vehicle when Front Co Passenger's Door is Opened</t>
  </si>
  <si>
    <t>Dashboard Doors Section status : Driver Door: Opened | Other doors: Closed</t>
  </si>
  <si>
    <t>Open the Front Co Passenger's Door --&gt; Go to My Bentley App Dashboard --&gt; Refresh the data(i.e. Swipe down the Dashboard screen) --&gt; Tap on “Update Vehicle Data” link from the notification pop up --&gt; Scroll Down to 'Door' Section</t>
  </si>
  <si>
    <t xml:space="preserve">1. Last contact time and date stamp below the vehicle name tile should be refreshed 
2. Dashboard Door Section status should be
• Driver Door: Opened
• Front Co Passenger Door: Opened
• Rear Left Passenger Door: Closed
• Rear Right Passenger Door: Closed.  
 </t>
  </si>
  <si>
    <t>Verify the status of the vehicle when Rear Left Passenger's Door is Opened</t>
  </si>
  <si>
    <t>Dashboard Doors Section status : |Driver Door: Opened|Front Co Passenger Door: Opened|Other doors: Closed</t>
  </si>
  <si>
    <t>Open the Rear Left Passenger Door --&gt; Go to My Bentley App Dashboard --&gt; Refresh the data(i.e. Swipe down the Dashboard screen) --&gt; Tap on “Update Vehicle Data” link from the notification pop up --&gt; Scroll Down to 'Door' Section</t>
  </si>
  <si>
    <t xml:space="preserve">1. Last contact time and date stamp below the vehicle name tile should be refreshed 
2. Dashboard Door Section status should be
• Driver Door: Opened
• Front Co Passenger Door: Opened
• Rear Left Passenger Door: Opened
• Rear Right Passenger Door: Closed.  
 </t>
  </si>
  <si>
    <t>Verify the status of the vehicle when Rear Right Passenger's Door is Opened</t>
  </si>
  <si>
    <t>Dashboard Doors Section status :|Driver Door: Opened|Front Co Passenger Door: Opened|Rear Left Passenger Door: Opened| Rear Right Passenger Door: Closed</t>
  </si>
  <si>
    <t>Open the Rear Right Passenger Door --&gt; Go to My Bentley App Dashboard --&gt; Refresh the data(i.e. Swipe down the Dashboard screen) --&gt; Tap on “Update Vehicle Data” link from the notification pop up --&gt; Scroll Down to 'Door' Section</t>
  </si>
  <si>
    <t xml:space="preserve">1. Last contact time and date stamp below the vehicle name tile should be refreshed 
2. Dashboard Door Section status should be
• Driver Door: Opened
• Front Co Passenger Door: Opened
• Rear Left Passenger Door: Opened
• Rear Right Passenger Door: Opened.  
 </t>
  </si>
  <si>
    <t>Verify the status of the vehicle when all Doors are closed</t>
  </si>
  <si>
    <t>Dashboard Doors Section status :|All doors openend</t>
  </si>
  <si>
    <t>Close all the Doors --&gt; Go to My Bentley App Dashboard --&gt; Refresh the data(i.e. Swipe down the Dashboard screen) --&gt; Tap on “Update Vehicle Data” link from the notification pop up --&gt; Scroll Down to 'Door' Section</t>
  </si>
  <si>
    <t xml:space="preserve">1. Last contact time and date stamp below the vehicle name tile should be refreshed 
2. Dashboard Door Section status should be
• Driver Door: Closed
• Front Co Passenger Door: Closed
• Rear Left Passenger Door: Closed
• Rear Right Passenger Door: Closed
 </t>
  </si>
  <si>
    <t>Verify the status of the vehicle when Driver's window is opened</t>
  </si>
  <si>
    <t>• The screen focus is in Windows section of "My Bentley App - DASHBOARD" page
( My Bentley App --&gt; LOGIN OR REGISTER --&gt; Email --&gt; Enter valid email id --&gt; NEXT --&gt; Enter the Password --&gt; NEXT --&gt; Vehicle "DASHBOARD" Screen )</t>
  </si>
  <si>
    <t>Dashboard Windows Section status :|All windows and sunroof closed</t>
  </si>
  <si>
    <t>Open the Driver's Window --&gt; Go to My Bentley App Dashboard --&gt; Refresh the data(i.e. Swipe down the Dashboard screen) --&gt; Tap on “Update Vehicle Data” link from the notification pop up --&gt; Scroll Down to 'Window' Section</t>
  </si>
  <si>
    <t xml:space="preserve">1. Last contact time and date stamp below the vehicle name tile should be refreshed
2. Dashboard Window Section status should be
• Driver Window: Opened
• Front Co Passenger Window: Closed
• Rear Left Passenger Window: Closed
• Rear Right Passenger Window: Closed
• Sunroof: Closed
 </t>
  </si>
  <si>
    <t>Verify the status of the vehicle when Front Co Passenger's Window is Opened</t>
  </si>
  <si>
    <t>Dashboard Windows Section status :|Driver Window: Opened|Other windows/sunroof: Closed</t>
  </si>
  <si>
    <t>Open the Front Co Passenger's Window --&gt; Go to My Bentley App Dashboard --&gt; Refresh the data(i.e. Swipe down the Dashboard screen) --&gt; Tap on “Update Vehicle Data” link from the notification pop up --&gt; Scroll Down to 'Window' Section</t>
  </si>
  <si>
    <t xml:space="preserve">1. Last contact time and date stamp below the vehicle name tile should be refreshed
2. Dashboard Window Section status should be
• Driver Window: Opened
• Front Co Passenger Window: Opened
• Rear Left Passenger Window: Closed
• Rear Right Passenger Window: Closed
• Sunroof: Closed
 </t>
  </si>
  <si>
    <t>Verify the status of the vehicle when Rear Left Passenger's Window is Opened</t>
  </si>
  <si>
    <t>Dashboard Windows Section status :|Driver Window: Opened|Front Co Passenger Window: Opened|Other windows/sunroof: Closed</t>
  </si>
  <si>
    <t>Open the Rear Left Passenger's Window --&gt; Go to My Bentley App Dashboard --&gt; Refresh the data(i.e. Swipe down the Dashboard screen) --&gt; Tap on “Update Vehicle Data” link from the notification pop up --&gt; Scroll Down to 'Window' Section</t>
  </si>
  <si>
    <t xml:space="preserve">1. Last contact time and date stamp below the vehicle name tile should be refreshed.
2. Dashboard Window Section status should be
• Driver Window: Opened
• Front Co Passenger Window: Opened
• Rear Left Passenger Window: Opened
• Rear Right Passenger Window: Closed
• Sunroof: Closed
 </t>
  </si>
  <si>
    <t>Verify the status of the vehicle when Rear Right Passenger's Window is Opened</t>
  </si>
  <si>
    <t>Dashboard Windows Section status :|Driver Window: Opened|Front Co Passenger Window: Opened|Rear Left Passenger Window: Opened|Rear Right Passenger Window: Closed|Sunroof: Closed</t>
  </si>
  <si>
    <t>Open the Rear Right Passenger's Window --&gt; Go to My Bentley App Dashboard --&gt; Refresh the data(i.e. Swipe down the Dashboard screen) --&gt; Tap on “Update Vehicle Data” link from the notification pop up --&gt; Scroll Down to 'Window' Section</t>
  </si>
  <si>
    <t xml:space="preserve">1. Last contact time and date stamp below the vehicle name tile should be refreshed.
2. Dashboard Window Section status should be
• Driver Window: Opened
• Front Co Passenger Window: Opened
• Rear Left Passenger Window: Opened
• Rear Right Passenger Window: Opened
• Sunroof: Closed
 </t>
  </si>
  <si>
    <t>Verify the status of the vehicle when Sunroof is Opened</t>
  </si>
  <si>
    <t>Dashboard Windows Section status :|Driver Window: Opened| Front Co Passenger Window: Opened|Rear Left Passenger Window: Opened|Rear Right Passenger Window: Opened|Sunroof: Closed</t>
  </si>
  <si>
    <t>Open the Sunroof --&gt; Go to My Bentley App Dashboard --&gt; Refresh the data(i.e. Swipe down the Dashboard screen) --&gt; Tap on “Update Vehicle Data” link from the notification pop up --&gt; Scroll Down to 'Windows' Section</t>
  </si>
  <si>
    <t xml:space="preserve">1. Last contact time and date stamp below the vehicle name tile should be refreshed.
2. Dashboard Window Section status should be
• Driver Window: Opened
• Front Co Passenger Window: Opened
• Rear Left Passenger Window: Opened
• Rear Right Passenger Window: Opened
• Sunroof: Opened
 </t>
  </si>
  <si>
    <t>Verify the status of the vehicle when all Windows and Sunroof are closed</t>
  </si>
  <si>
    <t>Dashboard Windows Section status :|All windows and sunroof opened</t>
  </si>
  <si>
    <t>Close all the Windows and Sunroof --&gt; Go to My Bentley App Dashboard --&gt; Refresh the data(i.e. Swipe down the Dashboard screen) --&gt; Tap on “Update Vehicle Data” link from the notification pop up --&gt; Scroll Down to 'Window' Section</t>
  </si>
  <si>
    <t xml:space="preserve">1. Last contact time and date stamp below the vehicle name tile should be refreshed.
2. Dashboard Window Section status should be
• Driver Window: Closed
• Front Co Passenger Window: Closed
• Rear Left Passenger Window: Closed
• Rear Right Passenger Window: Closed
• Sunroof: Closed
 </t>
  </si>
  <si>
    <t>Verify the status of the vehicle when Boot is Opened</t>
  </si>
  <si>
    <t>• The screen focus is in Boot &amp; Bonnet section of "My Bentley App - DASHBOARD" page
( My Bentley App --&gt; LOGIN OR REGISTER --&gt; Email --&gt; Enter valid email id --&gt; NEXT --&gt; Enter the Password --&gt; NEXT --&gt; Vehicle "DASHBOARD" Screen )</t>
  </si>
  <si>
    <t>Dashboard Boot &amp; Bonnet Section status :|Closed</t>
  </si>
  <si>
    <t>Open the Boot of the vehicle --&gt; Go to My Bentley App Dashboard --&gt; Refresh the data(i.e. Swipe down the Dashboard screen) --&gt; Tap on “Update Vehicle Data” link from the notification pop up --&gt; Scroll Down to 'Boot &amp; Bonnet' Section</t>
  </si>
  <si>
    <t>1. Last contact time and date stamp below the vehicle name tile should be refreshed. 
2. Dashboard Boot &amp; Bonnet Section status should be
• Boot: Opened
• Bonnet: Closed</t>
  </si>
  <si>
    <t>Verify the status of the vehicle when Bonnet is Opened</t>
  </si>
  <si>
    <t>Dashboard Boot &amp; Bonnet Section status :|Boot: Opened|Bonnet: Closed</t>
  </si>
  <si>
    <t xml:space="preserve">Open the Bonnet of the vehicle --&gt; Go to My Bentley App Dashboard --&gt; Refresh the data --&gt;Tap on “Update Vehicle Data” link from the notification pop up --&gt; Scroll Down to 'Boot &amp; Bonnet' Section </t>
  </si>
  <si>
    <t>1. Last contact time and date stamp below the vehicle name tile should be refreshed. 
2. Dashboard Boot &amp; Bonnet Section status should be
• Boot: Opened
• Bonnet: Opened</t>
  </si>
  <si>
    <t>Verify the status of the vehicle when both Boot &amp; Bonnet are Closed</t>
  </si>
  <si>
    <t>Dashboard Boot &amp; Bonnet Section status :|Opened</t>
  </si>
  <si>
    <t>Close both Boot &amp; Bonnet of the vehicle --&gt; Go to My Bentley App Dashboard --&gt; Refresh the data(i.e. Swipe down the Dashboard screen) --&gt; Tap on “Update Vehicle Data” link from the notification pop up --&gt; Scroll Down to 'Boot &amp; Bonnet' Section</t>
  </si>
  <si>
    <t>1. Last contact time and date stamp below the vehicle name tile should be refreshed. 
2. Dashboard Boot &amp; Bonnet Section status should be
• Boot: Closed
• Bonnet: Closed</t>
  </si>
  <si>
    <t>Verify the status of the vehicle when Lights(Side Lights) are On</t>
  </si>
  <si>
    <t>• The screen focus is in Lights section of "My Bentley App - DASHBOARD" page
( My Bentley App --&gt; LOGIN OR REGISTER --&gt; Email --&gt; Enter valid email id --&gt; NEXT --&gt; Enter the Password --&gt; NEXT --&gt; Vehicle "DASHBOARD" Screen )
• Ignition is Off</t>
  </si>
  <si>
    <t>Dashboard Lights Section status :|Lights: On</t>
  </si>
  <si>
    <t>Switch On the Light(Side Light) of the vehicle(Rotary knob/button next to steering wheel) --&gt; Go to My Bentley App Dashboard --&gt; Refresh the data(i.e. Swipe down the Dashboard screen) --&gt; Tap on “Update Vehicle Data” link from the notification pop up --&gt; Scroll Down to 'Light' Section</t>
  </si>
  <si>
    <t>1. Last contact time and date stamp below the vehicle name tile should be refreshed
2. Lights Section status should be
• Lights: On</t>
  </si>
  <si>
    <t>Verify the status of the vehicle on when Lights (Side Lights) are  Off</t>
  </si>
  <si>
    <t>Switch Off the Light of the vehicle(Rotary knob/button next to steering wheel) --&gt; Go to My Bentley App Dashboard --&gt; Refresh the data(i.e. Swipe down the Dashboard screen) --&gt; Tap on “Update Vehicle Data” link from the notification pop up --&gt; Scroll Down to 'Light' Section</t>
  </si>
  <si>
    <t>1. Last contact time and date stamp below the vehicle name tile should be refreshed
2. Lights Section status should be
• Light: Off</t>
  </si>
  <si>
    <t>Verify the Oil Level, Oil Change and Service Status in Vehicle Status Report</t>
  </si>
  <si>
    <t>• The screen focus is in  "Oil level , Oil change &amp; Service" section of "My Bentley App - DASHBOARD" page 
( My Bentley App --&gt; LOGIN OR REGISTER --&gt; Email --&gt; Enter valid email id --&gt; NEXT --&gt; Enter the Password --&gt; NEXT --&gt; Vehicle "DASHBOARD" Screen )</t>
  </si>
  <si>
    <t>Refresh the data(i.e. Swipe down the Dashboard screen) --&gt; Tap on “Update Vehicle Data” link from the notification pop up --&gt; Scroll Down to 'Oil level' Section</t>
  </si>
  <si>
    <t xml:space="preserve">1. Last contact time and date stamp below the vehicle name tile should be refreshed.
2. Below vehicle data should be updated(If any changes occurs)
• Oil level status (Ex : 75.0%)
• Oil Change status(Ex : due 197 d / 345 miles)
• Service status(Ex : due 197 d / 345 miles)
</t>
  </si>
  <si>
    <t>Verify the Kombi Warnings (If any)</t>
  </si>
  <si>
    <t>Refresh the data(i.e. Swipe down the Dashboard screen) --&gt; Tap on “Update Vehicle Data” link from the notification pop up --&gt; Scroll Down to 'Cluster Warnings' Section -&gt; Check the summary of the warnings and tap on it to check the details</t>
  </si>
  <si>
    <t xml:space="preserve">1. Last contact time and date stamp below the vehicle name tile should be refreshed
2. Currently displayed instrument cluster/kombi warnings should be aligned in cluster warning screen in dashboard(If exists any)
</t>
  </si>
  <si>
    <t>Verify the behaviour of the Vehicle Status Report when app closes during vehicle data update</t>
  </si>
  <si>
    <t>1. Refresh the data(i.e. Swipe down the Dashboard screen) --&gt; Tap on “Update Vehicle Data” link from the notification pop up --&gt; Close the app during ongoing update --&gt; Wait for any notification
2. Re-open the app</t>
  </si>
  <si>
    <t>1. The app data should be refreshed successfully, Push notification should be displayed on the screen even the application is closed.
2. Warnings should be displayed when app restarts.</t>
  </si>
  <si>
    <t>Remote Lock-Unlock</t>
  </si>
  <si>
    <t xml:space="preserve">Ensure that below preconditions are met before start the testing for this service
• Vehicle is connected to network 
• Primary user registration process is completed successfully
• The vehicle is stationary
• Alert system of the car is currently not sounding 
• S-PIN has been set
</t>
  </si>
  <si>
    <t>Access Remote Lock &amp; Unlock service from Mobile App</t>
  </si>
  <si>
    <t xml:space="preserve"> Scroll up/down and search for the Lock and Unlock  button. </t>
  </si>
  <si>
    <t>Lock and Unlock button are visible with respect to current lock status of the vehicle.</t>
  </si>
  <si>
    <t xml:space="preserve">Verify the Remote Unlock functionality  </t>
  </si>
  <si>
    <t>• The screen focus is in "My Bentley App - DASHBOARD" page
( My Bentley App --&gt; LOGIN OR REGISTER --&gt; Email --&gt; Enter valid email id --&gt; NEXT --&gt; Enter the Password --&gt; NEXT --&gt; Vehicle "DASHBOARD" Screen )
• All Doors are closed</t>
  </si>
  <si>
    <t>• Vehicle is locked
Ignition is Off</t>
  </si>
  <si>
    <t xml:space="preserve">Tap on 'Unlock' button --&gt; Enter PIN </t>
  </si>
  <si>
    <t>1. The action should performed and Door disarming alarm should be played.
2. App should be notified with an appropriate  message (e.g. response as 'Vehicle is successfully unlocked'  [relevant message])
3. The status of the lock should be updated simultaneously
4. Push notification should be received in the app</t>
  </si>
  <si>
    <t>Verify the Remote Lock functionality when Ignition is ON</t>
  </si>
  <si>
    <t>• Vehicle is unlocked
• Ignition is ON</t>
  </si>
  <si>
    <t xml:space="preserve">Tap on 'Lock' button --&gt; Enter SPIN </t>
  </si>
  <si>
    <t>1. The action should performed and rejected by vehicle. 
2. App should be notified with an appropriate  message (e.g. response as 'Unable to Lock Vehicle, Please switch Off the Ignition '  [relevant message])
3. Lock status should not be changed in app
4. Push notification should be received in the app</t>
  </si>
  <si>
    <t xml:space="preserve">Verify the Remote Lock functionality </t>
  </si>
  <si>
    <t>• Vehicle is unlocked
Ignition is Off</t>
  </si>
  <si>
    <t>1. The action should performed and Door arming alarm should be played.
2. App should be notified with an appropriate  message (e.g. response as 'Vehicle is successfully locked'  [relevant message])
3. The status of the lock should be updated simultaneously
4. Push notification should be received in the app</t>
  </si>
  <si>
    <t>Verify the Remote Unlock functionality when Ignition is ON</t>
  </si>
  <si>
    <t>• Vehicle is locked
• Ignition is ON</t>
  </si>
  <si>
    <t xml:space="preserve">Tap on 'Unlock' button --&gt; Enter SPIN </t>
  </si>
  <si>
    <t>Verify validating My Bentley App Services with an invalid SPIN</t>
  </si>
  <si>
    <t xml:space="preserve">• My Bentley App login credentials available
</t>
  </si>
  <si>
    <t xml:space="preserve">1. Log In to Bentley ID with valid credentials
( My Bentley App --&gt; LOGIN OR REGISTER --&gt; Enter valid email id --&gt; NEXT --&gt; Enter the Password --&gt; NEXT )
2. Now go to My Bentley App and try to perform the below scenario with an invalid SPIN
a. Remote Lock / Unlock </t>
  </si>
  <si>
    <t xml:space="preserve">1. Log In to Bentley ID should be successfull and focus is in vehicle DASHBOARD screen
2. Invalid PIN error message should be displayed when tried to perform Remote Lock/Unlock with an invalid SPIN entry
</t>
  </si>
  <si>
    <t xml:space="preserve">Access to Remote Lock/unlock history  </t>
  </si>
  <si>
    <t xml:space="preserve">Go to Notifications </t>
  </si>
  <si>
    <t>Lock/unlock history should be visible with correct timestamps</t>
  </si>
  <si>
    <t>• The screen focus is in "My Bentley App - DASHBOARD" page
( My Bentley App --&gt; LOGIN OR REGISTER --&gt; Email --&gt; Enter valid email id --&gt; NEXT --&gt; Enter the Password --&gt; NEXT --&gt; Vehicle "DASHBOARD" Screen )
• All Doors are closed
• Ignition is OFF</t>
  </si>
  <si>
    <t>• Vehicle is unlocked</t>
  </si>
  <si>
    <t>Verify the Remote Lock functionality when vehicle is already locked</t>
  </si>
  <si>
    <t>• Vehicle is locked</t>
  </si>
  <si>
    <t>1. The action should performed and get response with an appropriate  message (e.g. response as 'Vehicle is already locked / Vehicle locked'  [relevant message])
2. Push notification should be received in the app</t>
  </si>
  <si>
    <t>Verify the Remote Unlock functionality when vehicle is already unlocked</t>
  </si>
  <si>
    <t>1. The action should performed and get response with an appropriate  message (e.g. response as 'Vehicle is already unlocked / Vehicle unlocked'  [relevant message])
2. Push notification should be received in the app</t>
  </si>
  <si>
    <t>Verify the Remote Lock functionality timeout when vehicle is not connected to network</t>
  </si>
  <si>
    <t xml:space="preserve">Tap on 'Lock' button --&gt; Enter SPIN  </t>
  </si>
  <si>
    <t>1. The action should be terminated (timeout) after 2 minutes. 
2. App should be notified with an appropriate  message (e.g. response as 'Vehicle unreachable '  [relevant message])
3. Push notification should be received in the app</t>
  </si>
  <si>
    <t xml:space="preserve">Verify Remote Lock functionality when Fob Keys are left inside the vehicle </t>
  </si>
  <si>
    <t>• The screen focus is in "My Bentley App - DASHBOARD" page
( My Bentley App --&gt; LOGIN OR REGISTER --&gt; Email --&gt; Enter valid email id --&gt; NEXT --&gt; Enter the Password --&gt; NEXT --&gt; Vehicle "DASHBOARD" Screen )
• Ignition is OFF</t>
  </si>
  <si>
    <t>• Keep the Fob Key inside the vehicle
• Vehicle is unlocked</t>
  </si>
  <si>
    <t xml:space="preserve">Verify Remote Unlock functionality when Fob Keys are left inside the vehicle </t>
  </si>
  <si>
    <t>• Keep the Fob Key inside the vehicle
• Vehicle is locked</t>
  </si>
  <si>
    <t>1. The action should performed and Door disarming alarm should be played.
2. App should be notified with an appropriate  message (e.g. response as 'Vehicle is successfully unlocked'  [relevant message])
3. The status of the lock should be updated simultaneously</t>
  </si>
  <si>
    <t>Verify the Remote Lock functionality when Driver Door is opened</t>
  </si>
  <si>
    <t>• The screen focus is in "My Bentley App - DASHBOARD" page
( My Bentley App --&gt; LOGIN OR REGISTER --&gt; Email --&gt; Enter valid email id --&gt; NEXT --&gt; Enter the Password --&gt; NEXT --&gt; Vehicle "DASHBOARD" Screen ) 
• Ignition is OFF</t>
  </si>
  <si>
    <t>• Driver door open but other doors closed
• Vehicle is unlocked</t>
  </si>
  <si>
    <t>1. The action should performed and rejected by vehicle. 
2. App should be notified with an appropriate  message (e.g. response as 'Unable to Lock Vehicle, Driver's door is opened '  [relevant message])
3. Lock status should not be changed in app
4. Push notification should be received in the app</t>
  </si>
  <si>
    <t>Verify the Remote Lock functionality when Any door or trunk is opened</t>
  </si>
  <si>
    <t>• A door/bonnet is open other than the driver door
• Vehicle is unlocked</t>
  </si>
  <si>
    <t>1. The action should performed and Door arming alarm should be played.
2. App should be notified with an appropriate  message (e.g. response as 'Vehicle is partially locked'  [relevant message])
3. The status of the lock should be updated simultaneously
4. Push notification should be received in the app</t>
  </si>
  <si>
    <t>Remote Honk &amp; Flash</t>
  </si>
  <si>
    <t>Ensure that below preconditions are met before start the testing for this service
• Vehicle is connected to network 
• Primary registration process is successfully completed. 
• 'My Bentley Remote Services' license(Activate lights and horn) is valid and in use
• Login to My Bentley App with valid credentials
• All doors and flaps are closed
• Ignition = OFF &amp; Engine = OFF</t>
  </si>
  <si>
    <t>Verifying 'Honk' &amp; 'Flash' button status in My Bentley App</t>
  </si>
  <si>
    <t>1. Check for 'FLASH' button in 'DASHBOARD' screen
2. Check for 'HONK' button in 'DASHBOARD' screen</t>
  </si>
  <si>
    <t>1. The 'FLASH' button should be displayed with Light symbol.
2. The 'HONK' button should be displayed with Horn symbol.</t>
  </si>
  <si>
    <t>Verify 'HONK' functionality in My Bentley App</t>
  </si>
  <si>
    <t>• The distance between the GPS position of the sender and receiver must be &lt;100m</t>
  </si>
  <si>
    <t>1. Tap on 'HONK' button in Vehicle 'DASHBOARD' screen and Observe</t>
  </si>
  <si>
    <t>The vehicle will activate the honk function(i.e. Honk Sound should play) for 30 Secs</t>
  </si>
  <si>
    <t>Verify that ongoing 'HONK' functionality should stop when any of the doors and flaps are opened</t>
  </si>
  <si>
    <t>• The distance between the GPS position of the sender and receiver must be &lt;100m
When app sounds the horn, open any of the doors and flaps in vehicle</t>
  </si>
  <si>
    <t>1. Tap on 'HONK' button in Vehicle 'DASHBOARD' screen
2. While 'HONK' is ongoing, Open any of the doors and flaps in vehicle and Observe</t>
  </si>
  <si>
    <t>1. The vehicle will activate the honk function(i.e. Honk Sound should play) for 30 Secs
2. The ongoing 'HONK' sound should stop playing</t>
  </si>
  <si>
    <t>Verify that ongoing 'HONK' functionality should stop when Engine is turned ON</t>
  </si>
  <si>
    <t>• The distance between the GPS position of the sender and receiver must be &lt;100m
When app sounds the horn, turn ON the engine</t>
  </si>
  <si>
    <t>1. Tap on 'HONK' button in Vehicle 'DASHBOARD' screen
2. While 'HONK' is ongoing, Turn ON the engine and Observe
Note : This test scenario to be executed sitting inside the vehicle with all doors closed</t>
  </si>
  <si>
    <t>Verify that ongoing 'HONK' functionality should stop when vehicle is unlocked using Key Fob</t>
  </si>
  <si>
    <t>• The distance between the GPS position of the sender and receiver must be &lt;100m
• Vehicle is locked
When app sounds the horn, unlock the vehicle</t>
  </si>
  <si>
    <t>1. Tap on 'HONK' button in Vehicle 'DASHBOARD' screen
2. While 'HONK' is ongoing, Unlock the vehicle using Key Fob and Observe</t>
  </si>
  <si>
    <t>Verify that ongoing 'HONK' functionality should stop when hazard lights are turned ON</t>
  </si>
  <si>
    <t>• The distance between the GPS position of the sender and receiver must be &lt;100m
• Hazard Lights = OFF
When app sounds the horn, turn ON the hazard lights</t>
  </si>
  <si>
    <t>1. Tap on 'HONK' button in Vehicle 'DASHBOARD' screen
2. While 'HONK' is ongoing, Turn ON the hazard lights and Observe
Note : This test scenario to be executed sitting inside the vehicle with all doors closed</t>
  </si>
  <si>
    <t>Verify that ongoing 'HONK' functionality should stop when any of the vehicle alarm(Ex : Theft Alarm) is triggered</t>
  </si>
  <si>
    <t>• The distance between the GPS position of the sender and receiver must be &lt;100m
• Vehicle is locked
When app sounds the horn, trigger any of the vehicle alarms</t>
  </si>
  <si>
    <t>1. Tap on 'HONK' button in Vehicle 'DASHBOARD' screen
2. While 'HONK' is ongoing, Trigger any of the vehicle alarm(Ex : Theft Alarm) and Observe</t>
  </si>
  <si>
    <t>Verify triggering of 'HONK' should not work when hazard lights are initiated</t>
  </si>
  <si>
    <t>• The distance between the GPS position of the sender and receiver must be &lt;100m
• Hazard Lights = ON</t>
  </si>
  <si>
    <t>1. While Hazard Lights is ON, Trigger 'HONK' via 'My Bentley App' and Observe</t>
  </si>
  <si>
    <t xml:space="preserve">
1. The 'HONK' should not start when Hazard Lights are initiated</t>
  </si>
  <si>
    <t>Verify triggering of 'HONK' should not work during out of range</t>
  </si>
  <si>
    <t>• All doors and flaps are closed
• The distance between the GPS position of the sender and receiver must be &gt;100m
• Ignition = OFF &amp; Engine = OFF</t>
  </si>
  <si>
    <t xml:space="preserve">1. Tap on 'HONK' button in Vehicle 'DASHBOARD' screen
</t>
  </si>
  <si>
    <t>1. The vehicle should not start the honk function</t>
  </si>
  <si>
    <t>Verify 'Flash' functionality in My Bentley App</t>
  </si>
  <si>
    <t>• All doors and flaps are closed
• The distance between the GPS position of the sender and receiver must be &lt;100m
• Ignition = OFF &amp; Engine = OFF</t>
  </si>
  <si>
    <t>1. Tap on 'Flash' button in Vehicle 'DASHBOARD' screen and Observe</t>
  </si>
  <si>
    <t>The vehicle will activate the Flash function(i.e. All 4 Parking Signal Indicator Lights should start flashing) for 30 Secs</t>
  </si>
  <si>
    <t>Verify that ongoing 'Flash' functionality should stop when any of the doors and flaps are opened</t>
  </si>
  <si>
    <t>• All doors and flaps are closed
• The distance between the GPS position of the sender and receiver must be &lt;100m
• Ignition = OFF &amp; Engine = OFF
When app flashes the lights, open any of the doors and flaps in vehicle</t>
  </si>
  <si>
    <t>1. Tap on 'Flash' button in Vehicle 'DASHBOARD' screen
2. While 'Flash' is ongoing, Open any of the doors and flaps in vehicle and Observe</t>
  </si>
  <si>
    <t>1. The vehicle will activate the Flash function(i.e. All 4 Parking Signal Indicator Lights should start flashing)  for 30 Secs
2. The ongoing 'Flash' function(i.e. Flashing of all 4 indicators of vehicle) should stop working</t>
  </si>
  <si>
    <t>Verify that ongoing 'Flash' functionality should stop when Engine is turned ON</t>
  </si>
  <si>
    <t>• All doors and flaps are closed
• The distance between the GPS position of the sender and receiver must be &lt;100m
• Ignition = OFF &amp; Engine = OFF
When app flashes the lights, turn ON the engine</t>
  </si>
  <si>
    <t>1. Tap on 'Flash' button in Vehicle 'DASHBOARD' screen
2. While 'Flash' is ongoing, Turn ON the engine and Observe
Note : This test scenario to be executed sitting inside the vehicle with all doors closed</t>
  </si>
  <si>
    <t>Verify that ongoing 'Flash' functionality should stop when vehicle is unlocked using Key Fob</t>
  </si>
  <si>
    <t>• All doors and flaps are closed
• The distance between the GPS position of the sender and receiver must be &lt;100m
• Ignition = OFF &amp; Engine = OFF
When app flashes the lights, unlock the vehicle</t>
  </si>
  <si>
    <t>1. Tap on 'Flash' button in Vehicle 'DASHBOARD' screen
2. While 'Flash' is ongoing, Unlock the vehicle using Key Fob and Observe</t>
  </si>
  <si>
    <t>Verify that ongoing 'Flash' functionality should stop when hazard lights are turned ON</t>
  </si>
  <si>
    <t>• All doors and flaps are closed
• The distance between the GPS position of the sender and receiver must be &lt;100m
• Ignition = OFF &amp; Engine = OFF
• Hazard Lights = OFF
When app flashes the lights, turn on the hazard lights</t>
  </si>
  <si>
    <t>1. Tap on 'Flash' button in Vehicle 'DASHBOARD' screen
2. While 'Flash' is ongoing, Turn ON the hazard lights and Observe
Note : This test scenario to be executed sitting inside the vehicle with all doors closed</t>
  </si>
  <si>
    <t>Verify that ongoing 'Flash' functionality should stop when any of the vehicle alarm(Ex : Theft Alarm) is triggered</t>
  </si>
  <si>
    <t>• All doors and flaps are closed
• The distance between the GPS position of the sender and receiver must be &lt;100m
• Ignition = OFF &amp; Engine = OFF
• Vehicle is locked
When app flashes the lights, trigger any of the vehicles alarms</t>
  </si>
  <si>
    <t>1. Tap on 'Flash' button in Vehicle 'DASHBOARD' screen
2. While 'Flash' is ongoing, Trigger any of the vehicle alarm(Ex : Theft Alarm) and Observe</t>
  </si>
  <si>
    <t>Verify triggering of 'Flash' should not work when hazard lights are initiated</t>
  </si>
  <si>
    <t>• All doors and flaps are closed
• The distance between the GPS position of the sender and receiver must be &lt;100m
• Ignition = OFF &amp; Engine = OFF
• Hazard Lights = ON</t>
  </si>
  <si>
    <t>1. While Hazard Lights is ON, Trigger 'Flash' via 'My Bentley App' and Observe</t>
  </si>
  <si>
    <t>1. The 'Flash' function(i.e. Flashing of all 4 indicators of vehicle) should not start when Hazard Lights are 'ON'</t>
  </si>
  <si>
    <t>Verify triggering of 'Flash' should not work during out of range</t>
  </si>
  <si>
    <t xml:space="preserve">1. Tap on 'Flash' button in Vehicle 'DASHBOARD' screen
</t>
  </si>
  <si>
    <t>1. The vehicle should not start the 'Flash' function(i.e. Flashing of all 4 indicators of vehicle)</t>
  </si>
  <si>
    <t>My Car Statistics</t>
  </si>
  <si>
    <t xml:space="preserve">Ensure that below preconditions are met before start the testing for this service
• This service applicable for only on PHEV models
• Vehicle must be connected to network 
• My Bentley mobile app should have valid credentials.
• User has paired his My Bentley app to the vehicle as a primary user
• Vehicle is licensed for the service, the service is available for use
• My Bentley mobile app -- &gt; Service Management -- &gt; 'My trip Statistics' should be enabled
• Vehicle must be driven few miles in advance for PHEV &amp; Combustion before starting the testing.
</t>
  </si>
  <si>
    <t>EUR, 
NAR,
CHN</t>
  </si>
  <si>
    <t>Accessing My Car Statistics</t>
  </si>
  <si>
    <t>• The screen focus is in "My Bentley App - CAR REMOTE" page 
( My Bentley App --&gt; LOGIN OR REGISTER --&gt; Email --&gt; Enter valid email id --&gt; NEXT --&gt; Enter the Password --&gt; NEXT --&gt; Vehicle "DASHBOARD" Screen --&gt; CAR REMOTE )</t>
  </si>
  <si>
    <t>Clearly focus on 'MY CAR STATISTICS' section under CAR REMOTE screen</t>
  </si>
  <si>
    <t>'MY CAR STATISTICS' section under CAR REMOTE screen should display :  
a. Last Trip Date &amp; Time Information</t>
  </si>
  <si>
    <t>Verifying My Car Statistics Graphical view and List view</t>
  </si>
  <si>
    <t>• The screen focus is in "MY CAR STATISTICS" page 
( My Bentley App --&gt; LOGIN OR REGISTER --&gt; Email --&gt; Enter valid email id --&gt; NEXT --&gt; Enter the Password --&gt; NEXT --&gt; Vehicle "DASHBOARD" Screen --&gt; CAR REMOTE --&gt; MY CAR STATISTICS)</t>
  </si>
  <si>
    <t>In 'MY CAR STATISTICS' screen, observe Graphical view and List view</t>
  </si>
  <si>
    <t>'MY CAR STATISTICS' screen should display 
* Graphical view tab :
1. Displays drop down list having the below functions
a) Consumption-electric
b) Consumption-combustion
c) Distance-driven
d) Distance-time
e) Average speed
2. Graphical view of the selected option from the drop down list should be displayed. 
3. Trip Data :  Date and time information should be displayed
4. Selected Trip data option should be displayed in bold
* List view tab :
1. Displays drop down list having the below functions
a) Consumption-electric
b) Consumption-combustion
c) Distance-driven
d) Distance-time
2. List view of the selected option from the drop down list should be displayed</t>
  </si>
  <si>
    <t>Verifying 'Consumption-combustion'  view section in 'MY CAR STATISTICS ' screen</t>
  </si>
  <si>
    <t>• The screen focus is in "MY CAR STATISTICS" page 
( My Bentley App --&gt; LOGIN OR REGISTER --&gt; Email --&gt; Enter valid email id --&gt; NEXT --&gt; Enter the Password --&gt; NEXT --&gt; Vehicle "DASHBOARD" Screen --&gt; CAR REMOTE --&gt; MY CAR STATISTICS)
• The "Consumption - combustion" vehicle data available in "MY CAR STATISTICS" page</t>
  </si>
  <si>
    <t>Click on 'Consumption - combustion' option and check for 'Graphical view' and 'List view'</t>
  </si>
  <si>
    <t>* Graphical view tab :
1. Drop down title should display in bold text as 'CONSUMPTION -  COMBUSTION'
2. Graphical view representation of 'Consumption-combustion' option should be displayed (i.e. mpg / km/l) usage w.r.t date  should be plotted in graph
3. Trip Data(Consumption-combustion) : Date and time information should be displayed
4. Selected Trip data of 'Consumption-combustion' should be displayed in bold
* List view tab :
1. Drop down title should display as 'CONSUMPTION - COMBUSTION'
2. Trip Data :  Date and time information should be displayed
                     : 'Consumption-combustion' usage(i.e. mpg) info should be displayed (Ex : 7.7 mpg / 2.7 km/l)
3. Selected Trip data  of 'Consumption-combustion' should be displayed in bold</t>
  </si>
  <si>
    <t>Verifying 'Consumption-electric'  view section in 'MY CAR STATISTICS ' screen</t>
  </si>
  <si>
    <t>Click on 'Consumption-electric' option and check for 'Graphical view' and 'List view'</t>
  </si>
  <si>
    <t>* Graphical view tab :
1. Drop down title should display in bold text as 'CONSUMPTION - ELECTRIC'
2. Graphical view representation of 'Consumption-electric' option should be displayed (i.e. mi/kWh / km/kWh) usage w.r.t date  should be plotted in graph
3. Trip Data(Consumption-electric) : Date and time information should be displayed
4. Selected Trip data of 'Consumption-electric' should be displayed in bold
* List view tab :
1. Drop down title should display as 'CONSUMPTION - ELECTRIC'
2. Trip Data :  Date and time information should be displayed
                     : 'Consumption-electric' usage(i.e. mi/kWh) info should be displayed (Ex : 1.2 mi/kWh / 2.0 km/kWh)
3. Selected Trip data  of 'Consumption-electric' should be displayed in bold</t>
  </si>
  <si>
    <t>Verifying 'Distance-driven'  view section in 'MY CAR STATISTICS ' screen</t>
  </si>
  <si>
    <t>The focus of the screen is on My Car Statistics page. 
(Login My Bentley App -- &gt; Car Remote  -- &gt; My Car Statistics screen )</t>
  </si>
  <si>
    <t>Click on 'Distance-driven' option and check for 'Graphical view' and 'List view'</t>
  </si>
  <si>
    <t>* Graphical view tab :
1. Drop down title should display in bold text as 'DISTANCE - DRIVEN'
2. Graphical view representation of 'Distance-driven' option should be displayed (i.e. mi / km) driven  w.r.t date  should be plotted in graph
3. Trip Data(Distance-driven) : Date and time information should be displayed
4. Selected Trip data of 'Distance-driven' should be displayed in bold
* List view tab :
1. Drop down title should display as 'DISTANCE - DRIVEN'
2. Trip Data :  Date and time information should be displayed
                        : 'Distance-driven' usage(i.e. mi) info should be displayed (Ex : 1 mi / 1 km)
3. Selected Trip data  of 'Distance-driven' should be displayed in bold</t>
  </si>
  <si>
    <t>Verifying 'Distance-time'  view section in 'MY CAR STATISTICS ' screen</t>
  </si>
  <si>
    <t>Click on 'Distance-time' option and check for 'Graphical view' and 'List view'</t>
  </si>
  <si>
    <t>* Graphical view tab :
1. Drop down title should display in bold text as 'DISTANCE - TIME'
2. Graphical view representation of 'Distance-time' option should be displayed (i.e. hour) usage w.r.t date  should be plotted in graph
3. Trip Data(Distance-time) : Date and time information should be displayed
4. Selected Trip data of 'Distance-time' should be displayed in bold
* List view tab :
1. Drop down title should display as 'DISTANCE - TIME'
2. Trip Data :  Date and time information should be displayed
                     : 'Distance-time' usage(i.e. hour) info should be displayed (Ex : 00:08 h)
3. Selected Trip data  of 'Distance-time' should be displayed in bold</t>
  </si>
  <si>
    <t>Verifying 'Average-speed'  view section in 'MY CAR STATISTICS ' screen</t>
  </si>
  <si>
    <t>Click on 'Average-speed' option and check for 'Graphical view' and 'List view'</t>
  </si>
  <si>
    <t>* Graphical view tab :
1. Drop down title should display in bold text as 'AVERAGE - SPEED'
2. Graphical view representation of 'Average-speed' option should be displayed (i.e. mph or km/h) usage w.r.t date  should be plotted in graph
3. Trip Data(Average-speed) : Date and time information should be displayed
4. Selected Trip data of 'Average-speed' should be displayed in bold
* List view tab :
1. Drop down title should display as 'AVERAGE - SPEED'
2. Trip Data :  Date and time information should be displayed
                     : 'Average-speed' usage(i.e. mph) info should be displayed (Ex : 6 mph or 9 km/h)
3. Selected Trip data  of 'Average-speed' should be displayed in bold</t>
  </si>
  <si>
    <t>Verify sharing of trip data information from 'MY CAR STATISTICS ' screen</t>
  </si>
  <si>
    <t>Click on 'Share' icon found in header next to 'MY CAR STATISTICS' title</t>
  </si>
  <si>
    <t>User should be able to successfully share the trip data information</t>
  </si>
  <si>
    <t>Verifying the unit type in My Car Statistics screen by changing unit under Units screen of My Bentley App</t>
  </si>
  <si>
    <t>The focus of the screen is on Units page. 
(Login My Bentley App -- &gt;User Profile icon --&gt; Gear icon--&gt; Units)</t>
  </si>
  <si>
    <t>1. Change the  metrics / imperial units in 'Units' screen for the below sections : 
a. UNITS
b. ELECTRIC CONSUMPTION
c. CONSUMPTION
d. PRESSURE  
2. Observe in MY CAR STATISTICS graphs in ( Car Remote  -- &gt; MY CAR STATISTICS screen )</t>
  </si>
  <si>
    <t>1. User should be able to change to metrics / imperial units successfully
2. The selected metrics / imperial units should be visible in Graphical &amp; List view in MY CAR STATISTICS screen</t>
  </si>
  <si>
    <t>My Cabin Comfort</t>
  </si>
  <si>
    <t xml:space="preserve">Ensure that below preconditions are met before starting the testing of this service
• This service applicable for only on PHEV models
• The vehicle should be provisioned with Front &amp; Rear Window Heating
• The vehicle should be provisioned with Seat Heating &amp; Cooling for all seats
• The vehicle should be provisioned with Seat Arm Rest Heating &amp; Cooling for all seats
• The vehicle should be provisioned with Steering Wheel Heating
• Vehicle must be connected to network 
• My Bentley mobile app should have valid credentials.
• User has paired his My Bentley app to the vehicle as a primary user
• Vehicle is licensed for the service, the service is available for use
• Fuel has to be more than 30% in Fuel Tank
•  Cabin Comfort will only work if interior temperature is less then 22 degree Celsius
• My Bentley mobile app -- &gt; Service Management -- &gt; 'My Cabin Comfort' should be enabled
• Ignition = Off
• Make sure that 'My cabin comfort' is not active </t>
  </si>
  <si>
    <t>Verifying the status of 'MY CABIN COMFORT' in CAR REMOTE screen of My Bentley App</t>
  </si>
  <si>
    <t>Check the status of 'MY CABIN COMFORT' under CAR REMOTE screen</t>
  </si>
  <si>
    <t>The status should be displayed as 'Not Active' under 'MY CABIN COMFORT' section of CAR REMOTE screen</t>
  </si>
  <si>
    <t>Accessing 'MY CABIN COMFORT' in My Bentley App</t>
  </si>
  <si>
    <t>In CAR REMOTE screen, click 'MY CABIN COMFORT' tile</t>
  </si>
  <si>
    <t>'MY CABIN COMFORT' screen should be displayed with following options 
a. 'Quick start' tab 
b. 'Set timer' tab</t>
  </si>
  <si>
    <t>Verifying 'Quick start' tab under 'MY CABIN COMFORT' in My Bentley App</t>
  </si>
  <si>
    <t>• The screen focus is in "MY CABIN COMFORT" page 
( My Bentley App --&gt; LOGIN OR REGISTER --&gt; Email --&gt; Enter valid email id --&gt; NEXT --&gt; Enter the Password --&gt; NEXT --&gt; Vehicle "DASHBOARD" Screen --&gt; CAR REMOTE --&gt; MY CABIN COMFORT )</t>
  </si>
  <si>
    <t>In 'MY CABIN COMFORT' screen, Observe the 'Quick start' tab</t>
  </si>
  <si>
    <t>In 'MY CABIN COMFORT - Quick start' tab, The following options need to be displayed.
1. Title : 'MY CABIN COMFORT'
2. Information related to 'MY CABIN COMFORT' (Ex : Prepare your Bentley in advance to keep you and all your passengers comfortable from the moment you step inside) 
3. Target Temperature Bar where user can set temperature range 16degC to 26degC with 1degC step increments / decrements.
4. 'Interior surface heating' button with 'enable' / 'disable' option in order to enable Seat Heating
5. START button option displayed</t>
  </si>
  <si>
    <t>Verifying 'Interior surface heating' option in My Bentley App</t>
  </si>
  <si>
    <t>• The screen focus is in "MY CABIN COMFORT" page 
( My Bentley App --&gt; LOGIN OR REGISTER --&gt; Email --&gt; Enter valid email id --&gt; NEXT --&gt; Enter the Password --&gt; NEXT --&gt; Vehicle "DASHBOARD" Screen --&gt; CAR REMOTE --&gt; MY CABIN COMFORT )
• The vehicle should support rear seat heating</t>
  </si>
  <si>
    <t>In 'MY CABIN COMFORT', Go to 'Quick start' tab and enable 'Interior surface heating' option</t>
  </si>
  <si>
    <t>Under 'Quick start' tab when 'Interior surface heating' option is enabled
1. Interior surface heating should display all the vehicle seating options where user can 'enable' or 'disable' corresponding seat heating
a. Front Driver Seat [ Default = Enable ]
b. Front Passenger Seat [ Default = Enable ]
c. Rear Left Passenger Seat [ Default = Disable ]
d. Rear Right Passenger Seat [ Default = Disable ]</t>
  </si>
  <si>
    <t>Check whether user able to set the Target Temperature in the range between 16degC to 26degC in My Bentley App</t>
  </si>
  <si>
    <t>• The screen focus is in "MY CABIN COMFORT - Quick start" page 
( My Bentley App --&gt; LOGIN OR REGISTER --&gt; Email --&gt; Enter valid email id --&gt; NEXT --&gt; Enter the Password --&gt; NEXT --&gt; Vehicle "DASHBOARD" Screen --&gt; CAR REMOTE --&gt; MY CABIN COMFORT --&gt; Quick start )
• The vehicle should support rear seat heating</t>
  </si>
  <si>
    <t>1. Try to set the Target Temperature Bar to some desired value in the range between 16degC to 26degC with 1degC increments / decrements</t>
  </si>
  <si>
    <t>1. Target Temperature should be easily set to desired value by the user in the range between 16degC to 26degC with 1degC increments / decrements</t>
  </si>
  <si>
    <t>Activating Quick Start - 'MY CABIN COMFORT' after setting desired temperature [ Seat Heating = Not Enabled ] in My Bentley App</t>
  </si>
  <si>
    <t>• The screen focus is in "MY CABIN COMFORT - Quick start" page 
( My Bentley App --&gt; LOGIN OR REGISTER --&gt; Email --&gt; Enter valid email id --&gt; NEXT --&gt; Enter the Password --&gt; NEXT --&gt; Vehicle "DASHBOARD" Screen --&gt; CAR REMOTE --&gt; MY CABIN COMFORT --&gt; Quick start )
• The vehicle should support rear seat heating
• Make sure at least 30% of Fuel to be present in Fuel Tank
• Ignition is OFF
Note : "MY CABIN COMFORT" Quick start activates only for 30 mins</t>
  </si>
  <si>
    <t>1. Set the Target Temperature Bar to some desired value in the range between 16degC to 26degC with 1degC increments / decrements
2. Interior surface heating = Off
3. Click 'START' button &amp; Observe</t>
  </si>
  <si>
    <t>1. Target Temperature is successfully set by the user to the desired value in the range between 16degC to 26degC with 1degC increments / decrements
2. 'MY CABIN COMFORT' should be successfully sent to car and it should display
a. The current status of 'MY CABIN COMFORT' under CAR REMOTE screen should display as 'My cabin comfort active' along with Time left  information
b. Status : Currently active
c. Quick start 'START' button should change to 'STOP' &amp; 'MY CABIN COMFORT' Quick Start should activate
d. Time left should match with Car remote RCP menu 
e. In vehicle the 'MY CABIN COMFORT' should be in progress
i.e.
* Cabin Heating / Cooling =Active
* Front Window Heating / Cooling =Active(Not Applicable)
* Rear Window Heating / Cooling =Active(Not Applicable)
* Front Driver Seat Heating / Cooling = Not Active 
* Front Passenger Seat Heating / Cooling = Not Active
* Rear Left Passenger Seat Heating / Cooling = Not Active
* Rear Right Passenger Seat Heating / Cooling = Not Active
* Seat Arm Rest Heating / Cooling = Not Active(Not Applicable)
* Steering Wheel Heating = Not Active(Not Applicable)</t>
  </si>
  <si>
    <t>Enabling 'Front Driver Seat Heating' via 'Interior surface heating - Quick Start' option in My Bentley App</t>
  </si>
  <si>
    <t>• The screen focus is in "MY CABIN COMFORT - Quick start" page 
( My Bentley App --&gt; LOGIN OR REGISTER --&gt; Email --&gt; Enter valid email id --&gt; NEXT --&gt; Enter the Password --&gt; NEXT --&gt; Vehicle "DASHBOARD" Screen --&gt; CAR REMOTE --&gt; MY CABIN COMFORT --&gt; Quick start ) 
• The vehicle should support rear seat heating
• Make sure at least 30% of Fuel to be present in Fuel Tank
• Ignition is OFF
Note : "MY CABIN COMFORT" Quick start activates only for 30 mins</t>
  </si>
  <si>
    <t>1. Set the Target Temperature Bar to some desired value in the range between 16degC to 24degC
2. Enable 'Interior surface heating' option 
3. Now once again enable the 'Front Driver Seat Heating' option &amp; disable the 'Front Passenger Seat Heating' option 
4. Click 'START' button &amp; Observe</t>
  </si>
  <si>
    <t>1. Target Temperature is set to desired value as selected by the user
2. Interior surface heating should display all the vehicle seating options where user can enable or disable corresponding seat heating
a. Front Driver Seat [ Default = Enable ]
b. Front Passenger Seat [ Default = Enable ]
c. Rear Left Passenger Seat [ Default = Disable ]
d. Rear Right Passenger Seat [ Default = Disable ]
3. 'Front Driver Seat Heating' option should be enabled and 'Front Passenger Seat Heating' option should be disabled
4. 'MY CABIN COMFORT' should be successfully sent to car and it should display
a. The current status of 'MY CABIN COMFORT' under CAR REMOTE screen should display as 'My cabin comfort active' along with Time left information
b. Status : Currently active
c. Quick start 'START' button should change to 'STOP' &amp; 'MY CABIN COMFORT' Quick Start should activate
d. Time left should match with Car remote RCP menu 
e. In vehicle the 'MY CABIN COMFORT' should be in progress
i.e.
* Cabin Heating / Cooling =Active
* Front Window Heating / Cooling =Active(Not Applicable)
* Rear Window Heating / Cooling =Active(Not Applicable)
* Front Driver Seat Heating / Cooling = Active 
* Front Passenger Seat Heating / Cooling = Not Active
* Rear Left Passenger Seat Heating / Cooling = Not Active
* Rear Right Passenger Seat Heating / Cooling = Not Active
* Front Driver Seat Arm Rest Heating / Cooling = Active(Not Applicable)
* Steering Wheel Heating = Active (Not Applicable) (i.e. Steering Wheel Heating activates only when the Set Temperature via Target Temperature Bar is greater than the current Cabin Temperature)</t>
  </si>
  <si>
    <t>Enabling 'Front Passenger Seat Heating' via 'Interior surface heating'  - Quick Start' option in My Bentley App</t>
  </si>
  <si>
    <t>1. Set the Target Temperature Bar to some desired value in the range between 16degC to 24degC
2. Enable 'Interior surface heating' option 
3. Now once again enable the 'Front Passenger Seat Heating' option &amp; disable the 'Front Driver Seat Heating' option
4. Click 'START' button &amp; Observe</t>
  </si>
  <si>
    <t>1. Target Temperature is set to desired value as selected by the user
2. Interior surface heating should display all the vehicle seating options where user can enable or disable corresponding seat heating
a. Front Driver Seat [ Default = Enable ]
b. Front Passenger Seat [ Default = Enable ]
c. Rear Left Passenger Seat [ Default = Disable ]
d. Rear Right Passenger Seat [ Default = Disable ]
3. 'Front Passenger Seat Heating' option should be enabled and 'Front Driver Seat Heating' option should be disabled
4. 'MY CABIN COMFORT' should be successfully sent to car and it should display
a. The current status of 'MY CABIN COMFORT' under CAR REMOTE screen should display as 'My cabin comfort active' along with Time left information
b. Status : Currently active
c. Quick start 'START' button should change to 'STOP' &amp; 'MY CABIN COMFORT' Quick Start should activate
d. Time left should match with Car remote RCP menu 
e. In vehicle the 'MY CABIN COMFORT' should be in progress
i.e.
* Cabin Heating / Cooling =Active
* Front Window Heating / Cooling =Active(Not Applicable)
* Rear Window Heating / Cooling =Active(Not Applicable)
* Front Driver Seat Heating / Cooling = Not Active 
* Front Passenger Seat Heating / Cooling = Active
* Rear Left Passenger Seat Heating / Cooling = Not Active
* Rear Right Passenger Seat Heating / Cooling = Not Active
* Front Passenger Seat Arm Rest Heating / Cooling = Active(Not Applicable)
* Steering Wheel Heating = Active(Not Applicable) (i.e. Steering Wheel Heating activates only when the Set Temperature via Target Temperature Bar is greater than the current Cabin Temperature)</t>
  </si>
  <si>
    <t>Enabling 'Rear Left Passenger Seat Heating' via 'Interior surface heating'  - Quick Start' option in My Bentley App</t>
  </si>
  <si>
    <t>1. Set the Target Temperature Bar to some desired value in the range between 16degC to 24degC
2. Enable 'Interior surface heating' option 
3. Now enable the 'Rear Left Passenger Seat Heating' option and disable 'Front Driver Seat Heating' along with 'Front Passenger Seat Heating' option
4. Click 'START' button &amp; Observe</t>
  </si>
  <si>
    <t>1. Target Temperature is set to desired value as selected by the user
2. Interior surface heating should display all the vehicle seating options where user can enable or disable corresponding seat heating
a. Front Driver Seat [ Default = Enable ]
b. Front Passenger Seat [ Default = Enable ]
c. Rear Left Passenger Seat [ Default = Disable ]
d. Rear Right Passenger Seat [ Default = Disable ]
3. 'Rear Left Passenger Seat Heating' option should be enabled where as 'Front Driver Passenger Seat Heating' and 'Front Passenger Seat Heating' option should be disabled
4. 'MY CABIN COMFORT' should be successfully sent to car and it should display
a. The current status of 'MY CABIN COMFORT' under CAR REMOTE screen should display as ''My cabin comfort active' along with Time left  information
b. Status : Currently active
c. Quick start 'START' button should change to 'STOP' &amp; 'MY CABIN COMFORT' Quick Start should activate
d. Time left should match with Car remote RCP menu 
e. In vehicle the 'MY CABIN COMFORT' should be in progress
i.e.
* Cabin Heating / Cooling =Active
* Front Window Heating / Cooling =Active(Not Applicable)
* Rear Window Heating / Cooling =Active(Not Applicable)
* Front Driver Seat Heating / Cooling = Not Active 
* Front Passenger Seat Heating / Cooling = Not Active
* Rear Left Passenger Seat Heating / Cooling = Active
* Rear Right Passenger Seat Heating / Cooling = Not Active
* Rear Left Passenger Seat Arm Rest Heating / Cooling = Active(Not Applicable)
* Steering Wheel Heating = Active(Not Applicable) (i.e. Steering Wheel Heating activates only when the Set Temperature via Target Temperature Bar is greater than the current Cabin Temperature)</t>
  </si>
  <si>
    <t>Enabling 'Rear Right Passenger Seat Heating' via 'Interior surface heating'  - Quick Start' option in My Bentley App</t>
  </si>
  <si>
    <t>1. Set the Target Temperature Bar to some desired value in the range between 16degC to 24degC
2. Enable 'Interior surface heating' option 
3. Now enable the 'Rear Right Passenger Seat Heating' option and disable 'Front Driver Seat Heating' along with 'Front Passenger Seat Heating' option
4. Click 'START' button &amp; Observe</t>
  </si>
  <si>
    <t>1. Target Temperature is set to desired value as selected by the user
2. Interior surface heating should display all the vehicle seating options where user can enable or disable corresponding seat heating
a. Front Driver Seat [ Default = Enable ]
b. Front Passenger Seat [ Default = Enable ]
c. Rear Left Passenger Seat [ Default = Disable ]
d. Rear Right Passenger Seat [ Default = Disable ]
3. 'Rear Right Passenger Seat Heating' option should be enabled where as 'Front Driver Seat Heating' aand 'Front Passenger Seat Heating' option should be disabled
4. 'MY CABIN COMFORT' should be successfully sent to car and it should display
a. The current status of 'MY CABIN COMFORT' under CAR REMOTE screen should display as 'My cabin comfort active' along with Time left  information
b. Status : Currently active
c. Quick start 'START' button should change to 'STOP' &amp; 'MY CABIN COMFORT' Quick Start should activate
d. Time left should match with Car remote RCP menu 
e. In vehicle the 'MY CABIN COMFORT' should be in progress
i.e.
* Cabin Heating / Cooling =Active
* Front Window Heating / Cooling =Active(Not Applicable)
* Rear Window Heating / Cooling =Active(Not Applicable)
* Front Driver Seat Heating / Cooling = Not Active 
* Front Passenger Seat Heating / Cooling = Not Active
* Rear Left Passenger Seat Heating / Cooling = Not Active
* Rear Right Passenger Seat Heating / Cooling = Active
* Rear Right Passenger Seat Arm Rest Heating / Cooling = Active(Not Applicable)
* Steering Wheel Heating = Active(Not Applicable) (i.e. Steering Wheel Heating activates only when the Set Temperature via Target Temperature Bar is greater than the current Cabin Temperature)</t>
  </si>
  <si>
    <t>Enabling all 'Seat Heating' via 'Interior surface heating'  - Quick Start' option in My Bentley App</t>
  </si>
  <si>
    <t>1. Set the Target Temperature Bar to some desired value in the range between 16degC to 24degC
2. Enable 'Interior surface heating' option 
3. Now enable all the Seating option
'Front Driver Seat Heating' = Active
'Front Passenger Seat Heating' = Active
'Rear Left Passenger Seat Heating' = Active
'Rear Right Passenger Seat Heating' = Active
4. Click 'START' button &amp; Observe</t>
  </si>
  <si>
    <t>1. Target Temperature is set to desired value as selected by the user
2. Interior surface heating should display all the vehicle seating options where user can enable or disable corresponding seat heating
a. Front Driver Seat [ Default = Enable ]
b. Front Passenger Seat [ Default = Enable ]
c. Rear Left Passenger Seat [ Default = Disable ]
d. Rear Right Passenger Seat [ Default = Disable ]
3. All Seating option should be enabled
4. 'MY CABIN COMFORT' should be successfully sent to car and it should display
a. The current status of 'MY CABIN COMFORT' under CAR REMOTE screen should display as 'My cabin comfort active' along with Time left  information
b. Status : Currently active
c. Quick start 'START' button should change to 'STOP' &amp; 'MY CABIN COMFORT' Quick Start should activate
d. Time left should match with Car remote RCP menu 
e. In vehicle the 'MY CABIN COMFORT' should be in progress
i.e.
* Cabin Heating / Cooling =Active
* Front Window Heating / Cooling =Active(Not Applicable)
* Rear Window Heating / Cooling =Active(Not Applicable)
* Front Driver Seat Heating / Cooling = Active 
* Front Passenger Seat Heating / Cooling = Active
* Rear Left Passenger Seat Heating / Cooling = Active
* Rear Right Passenger Seat Heating / Cooling = Active
* Front Driver Seat Arm Rest Heating / Cooling = Active(Not Applicable)
* Front Passenger Seat Arm Rest Heating / Cooling = Active(Not Applicable)
* Rear Left Passenger Seat Arm Rest Heating / Cooling = Active(Not Applicable)
* Rear Right Passenger Seat Arm Rest Heating / Cooling = Active(Not Applicable)
* Steering Wheel Heating = Active(Not Applicable) (i.e. Steering Wheel Heating activates only when the Set Temperature via Target Temperature Bar is greater than the current Cabin Temperature)</t>
  </si>
  <si>
    <t>Stop the activated 'MY CABIN COMFORT' in My Bentley App</t>
  </si>
  <si>
    <t>• "MY CABIN COMFORT" is active
• The screen focus is in "MY CABIN COMFORT - Quick start" page 
( My Bentley App --&gt; LOGIN OR REGISTER --&gt; Email --&gt; Enter valid email id --&gt; NEXT --&gt; Enter the Password --&gt; NEXT --&gt; Vehicle "DASHBOARD" Screen --&gt; CAR REMOTE --&gt; MY CABIN COMFORT --&gt; Quick start )
• The vehicle should support rear seat heating
• Make sure at least 30% of Fuel to be present in Fuel Tank
• Ignition is OFF</t>
  </si>
  <si>
    <t>• Interior surface heating = On
• 'Front Driver Seat Heating' = Active
• 'Front Passenger Seat Heating' = Active
• 'Rear Left Passenger Seat Heating' = Active
• 'Rear Right Passenger Seat Heating' = Active</t>
  </si>
  <si>
    <t>'MY CABIN COMFORT' active in vehicle --&gt; My Bentley App --&gt; Car Remote --&gt; 'MY CABIN COMFORT' --&gt; 'Quick Start' tab --&gt; Current Active Status + Time left Information displayed --&gt; Click STOP button</t>
  </si>
  <si>
    <t>1. 'MY CABIN COMFORT' section under CAR REMOTE screen should display 'Not Active' Status  
2. Quick start  'STOP' button change to 'START' &amp; 'MY CABIN COMFORT' Quick Start should deactivate.
3. In vehicle the 'MY CABIN COMFORT' should stop</t>
  </si>
  <si>
    <t>Verifying 'Set timer' tab  in My Bentley App</t>
  </si>
  <si>
    <t>• The screen focus is in "MY CABIN COMFORT - Set timer" page 
( My Bentley App --&gt; LOGIN OR REGISTER --&gt; Email --&gt; Enter valid email id --&gt; NEXT --&gt; Enter the Password --&gt; NEXT --&gt; Vehicle "DASHBOARD" Screen --&gt; CAR REMOTE --&gt; MY CABIN COMFORT --&gt; Set timer )</t>
  </si>
  <si>
    <t>In 'MY CABIN COMFORT' screen observe the 'Set  timer' tab</t>
  </si>
  <si>
    <t>In 'Set timer' tab following options are displayed.
1. Title : 'MY CABIN COMFORT'
2. Timer - 1 with Enable/Disable button
3. Timer - 2 with Enable/Disable button
4. SETTINGS button to enable / disable  Interior surface heating (i.e. Seat Heating) 
5. SYNC TO CAR button option to be displayed
Note : 'SYNC TO CAR' button is disabled until unless one of the timer(Timer - 1 / Timer - 2) is enabled</t>
  </si>
  <si>
    <t>Verifying 'Interior surface heating' option under ''MY CABIN COMFORT' - Set timer' tab in My Bentley App</t>
  </si>
  <si>
    <t>• The screen focus is in "MY CABIN COMFORT - Set timer" page 
( My Bentley App --&gt; LOGIN OR REGISTER --&gt; Email --&gt; Enter valid email id --&gt; NEXT --&gt; Enter the Password --&gt; NEXT --&gt; Vehicle "DASHBOARD" Screen --&gt; CAR REMOTE --&gt; MY CABIN COMFORT --&gt; Set timer )
• The vehicle should support rear seat heating</t>
  </si>
  <si>
    <t>In 'MY CABIN COMFORT - Set timer' tab , Click on 'SETTINGS' &amp; Observe</t>
  </si>
  <si>
    <t>Clicking on SETTINGS button displays : 
1. 'Interior surface heating' option to Enable / Disable 
2. 'Interior surface heating' option = Enable
--&gt; 'Interior surface heating' should display all the vehicle seating options where user can enable or disable corresponding seat heating
a. Front Driver Seat [ Default = Enable ]
b. Front Passenger Seat [ Default = Enable ]
c. Rear Left Passenger Seat [ Default = Disable ]
d. Rear Right Passenger Seat [ Default = Disable ]
3. 'Interior surface heating' option = Disable
--&gt; 'Interior surface heating' will not display vehicle seating options</t>
  </si>
  <si>
    <t>'MY CABIN COMFORT' timer scheduling without Seat Heating / Cooling in My Bentley App</t>
  </si>
  <si>
    <t>• The screen focus is in "MY CABIN COMFORT - Set timer" page 
( My Bentley App --&gt; LOGIN OR REGISTER --&gt; Email --&gt; Enter valid email id --&gt; NEXT --&gt; Enter the Password --&gt; NEXT --&gt; Vehicle "DASHBOARD" Screen --&gt; CAR REMOTE --&gt; MY CABIN COMFORT --&gt; Set timer )
• Make sure at least 30% of Fuel to be present in Fuel Tank
• Ignition is OFF</t>
  </si>
  <si>
    <t>In 'Set timer' tab --&gt;Select future time(Timer-1 /  Timer-2) --&gt; Toggle Button = Enable --&gt; SYNC TO CAR 
Note : If user is setting the timer for today, They should be able to set post 15 mins of current time(i.e. System should not allow to set the timer within post 15 mins of current time)
Make sure that 'Interior surface heating' is disabled under 'Quick start' tab
Make sure that 'Interior surface heating' is disabled under 'SETTINGS - Set timer' tab</t>
  </si>
  <si>
    <t>1. Sending Message to Car followed with Successfully sent to car message should be displayed
2.Timer Set message need to be displayed 
3. Finally In Vehicle 'MY CABIN COMFORT' should be active within the scheduled time displaying active status in app along with timer info
i.e.
* Cabin Heating / Cooling =Active
* Front Window Heating / Cooling =Active(Not Applicable)
* Rear Window Heating / Cooling =Active(Not Applicable)
* Front Driver Seat Heating / Cooling = Not Active 
* Front Passenger Seat Heating / Cooling = Not Active
* Rear Left Passenger Seat Heating / Cooling = Not Active
* Rear Right Passenger Seat Heating / Cooling = Not Active
* Front Driver Seat Arm Rest Heating / Cooling = Not Active(Not Applicable)
* Front Passenger Seat Arm Rest Heating / Cooling = Not Active(Not Applicable)
* Rear Left Passenger Seat Arm Rest Heating / Cooling = Not Active(Not Applicable)
* Rear Right Passenger Seat Arm Rest Heating / Cooling = Not Active(Not Applicable)
* Steering Wheel Heating = Not Active(Not Applicable)</t>
  </si>
  <si>
    <t>'MY CABIN COMFORT' timer scheduling with Seat Heating / Cooling in My Bentley App</t>
  </si>
  <si>
    <t>• Make sure particular Seat Heating / Cooling is selected(Ex : Front Driver Seat , Front Passenger Seat , Rear Passenger Seats ....etc.)</t>
  </si>
  <si>
    <t>In 'Set timer' tab --&gt;Select future time(Timer-1 /  Timer-2) --&gt; Toggle Button = Enable --&gt; SYNC TO CAR 
Note : If user is setting the timer for today, They should be able to set post 15 mins of current time(i.e. System should not allow to set the timer within post 15 mins of current time)
• Make sure that 'Target Temperature' is set in range 16degC to 26degC with 1degC step increments / decrements
• Make sure that 'Interior surface heating' is enabled under 'Quick start' tab
• Make sure that 'Interior surface heating' is enabled under 'SETTINGS - Set timer' tab</t>
  </si>
  <si>
    <t>1. Sending Message to Car followed with Successfully sent to car message should be displayed
2.Timer Set message need to be displayed 
3. Finally In Vehicle 'MY CABIN COMFORT' should be active within the scheduled time displaying active status in app along with timer info
i.e.
* Cabin Heating / Cooling =Active
* Front Window Heating / Cooling =Active(Not Applicable)
* Rear Window Heating / Cooling =Active(Not Applicable)
* Front Driver Seat Heating / Cooling = Active (Depends on Seat Selection on whether it is selected or not) 
* Front Passenger Seat Heating / Cooling = Active (Depends on Seat Selection on whether it is selected or not)
* Rear Left Passenger Seat Heating / Cooling = Active (Depends on Seat Selection on whether it is selected or not)
* Rear Right Passenger Seat Heating / Cooling = Active (Depends on Seat Selection on whether it is selected or not)
* Front Driver Seat Arm Rest Heating / Cooling = Active(Not Applicable) (Depends on Seat Selection on whether it is selected or not)
* Front Passenger Seat Arm Rest Heating / Cooling = Active(Not Applicable) (Depends on Seat Selection on whether it is selected or not)
* Rear Left Passenger Seat Arm Rest Heating / Cooling = Active(Not Applicable) (Depends on Seat Selection on whether it is selected or not)
* Rear Right Passenger Seat Arm Rest Heating / Cooling = Active(Not Applicable) (Depends on Seat Selection on whether it is selected or not)
* Steering Wheel Heating = Active(Not Applicable) (i.e. Steering Wheel Heating activates only when the Set Temperature via Target Temperature Bar is greater than the current Cabin Temperature)</t>
  </si>
  <si>
    <t>Setting 'MY CABIN COMFORT' timer from vehicle without enabling Seat Heating and validating it in My Bentley App</t>
  </si>
  <si>
    <t>• The focus of the screen should be on "Climate - Auxiliary climate" page on vehicle.
(HMI --&gt; Try to Adjust the temperature via "Temperature" Knob from centre console --&gt; "Climate" screen is launched --&gt; Select "Settings" button --&gt; "Climate - Settings" screen is launched --&gt; Select "Auxiliary Climate" --&gt; "Climate - Auxiliary climate" screen is launched)</t>
  </si>
  <si>
    <t>• Make sure particular Seat Heating / Cooling is not enabled for any of the seats(Ex : Front Driver Seat , Front Passenger Seat , Rear Passenger Seats ....etc.) under 'Convenience auxiliary climate' section of 'Climate - Settings' screen</t>
  </si>
  <si>
    <t>Under 'Climate - Auxiliary climate' screen
1. Set either 'Timer-1' / 'Timer-2' via  'Timer Programming' section (i.e. Launch 'Climate - Departure date' screen and set some future departure date)
2. Set the Target Temperature in the range between 16degC to 26degC with 1degC increments / decrements(i.e. Click on 'Settings' --&gt; Under  'Climate - Settings' screen, Select the target temperature between 16degC to 26degC)
3. Now click on 'Temperature - Icon' under 'Immediate Start' section 
4. Now login to My Bentley App and check for the status under 'MY CABIN COMFORT' section in CAR REMOTE screen
5. Now go to 'MY CABIN COMFORT - Set timer' tab and  check for the timer information</t>
  </si>
  <si>
    <t xml:space="preserve">
1.  User should be able to set 'Timer-1' / 'Timer-2' successfully in vehicle without any issues
2. User should be able to set the Target Temperature in the range between 16degC to 26degC with 1degC increments / decrements successfully without any issues
3. Clicking on 'Temperature - Icon' should activate 'MY CABIN COMFORT' successfully
4. Respective status such as 'Active' / 'Scheduled' need to be displayed under 'MY CABIN COMFORT' section in CAR REMOTE screen
5. The App timer should update as below,
1. Date &amp; time
2.Timer active &amp; deactivate status</t>
  </si>
  <si>
    <t>Validating 'Climate - Auxiliary climate' screen in vehicle</t>
  </si>
  <si>
    <t>• The focus of the screen should be on "Climate - Auxiliary climate" page on vehicle.
(HMI --&gt; Climate --&gt; "Climate" screen is launched --&gt; Select "Settings" button --&gt; "Climate - Settings" screen is launched --&gt; Select "Auxiliary Climate" --&gt; "Climate - Auxiliary climate" screen is launched)</t>
  </si>
  <si>
    <t>Validate 'Climate - Auxiliary climate' screen</t>
  </si>
  <si>
    <t>Climate - Auxiliary climate' screen should be launched displaying : 
1. Screen Title : 'Climate - Auxiliary climate' screen
2. 'Immediate Start' section 
     a. 'Temperature - Icon' button : - Clicking on it should activate 'MY CABIN COMFORT'
3. 'Timer Programming' section
     a. Timer 1 with selection box : - Clicking on it should launch 'Climate - Departure date' screen where user can select the departure date along with 'Continue' button
     b. Timer 2 with selection box : - Clicking on it should launch 'Climate - Departure date' screen where user can select the departure date along with 'Continue' button
4. 'Settings' button : - Clicking on it should launch 'Climate - Settings' screen where user can set
     a. Screen Title : - Climate Settings 
     b. 'Target Temperature' section : - Target Temperature should be easily set to desired value by the user in the range between 16degC to 26degC with 1degC increments / decrements
     c. 'Start climate control after unlocking' : - User can tick / untick for enabling / disabling this option
     d. 'Convenience auxiliary climate' section : - User can select / deselect the seat heating for all the 4 seating zones(Front Right Seat Zone / Front Left Seat Zone / Rear Right Seat Zone / Rear Left Seat Zone) 
    e. 'Back' button : - Clicking on it takes focus back to 'Climate - Auxiliary Climate' screen
5. 'Back' button : - Screen focus is taken one step back to 'Climate - Settings' screen</t>
  </si>
  <si>
    <t>Activating 'MY CABIN COMFORT' from vehicle along with enabling Seat Heating and setting desired temperature</t>
  </si>
  <si>
    <t xml:space="preserve">1. Select 'Settings' button in 'Climate - Auxiliary climate' screen 
2. Go to 'Target Temperature' section and set the target temperature in the range between 16degC to 26degC with 1degC increments / decrements under (Ex : 22degC)
3. Select the desired seat selection for Seat Heating under 'Convenience auxiliary climate' section(Ex : Rear Right Seat Zone)
4. Click on 'Back' button
5. Click on 'Temperature - Icon' button under 'Immediate Start' section in 'Climate - Auxiliary Climate' screen
6. Now launch My Bentley App --&gt; Go to CAR REMOTE screen and check the status under ''MY CABIN COMFORT'' section
7.  Now go to 'MY CABIN COMFORT - Set timer - SETTINGS' section and check for 
     a. Seat heating zone selected under 'Interior surface heating' section </t>
  </si>
  <si>
    <t>1. 'Climate - Settings' screen should be launched displaying : 
      a. Screen Title : Climate Settings
      b. Target temperature section : Consists of Temperature bar  in the range between 16degC to 26degC with 1degC increments / decrements
      c. Start climate control after unlocking option
      d. Convenience auxiliary climate section : Seat Heating can be selected for front &amp; rear zones of vehicle
      e. 'Back' button
2. User should be able to successfull set the target temperature in the range between 16degC to 26degC with 1degC increments / decrements under 'Target Temperature' section(Ex : 22degC)
3. User should be able to select the desired seat zone for Seat Heating under 'Convenience auxiliary climate' section (Ex :  Rear Right Seat Zone) 
4. Screen focus should take to 'Climate - Auxiliary Climate' screen
5. Clicking on 'Temperature-Icon' button should activate 'MY CABIN COMFORT' in vehicle and should display active status under 'Immediate start' section (i.e. Message : 'Auxiliary air conditioning active - Time Left(Ex : 24 min remaining)')
6. 'MY CABIN COMFORT' status should display as active along with time remaining
       a. Time left displayed under 'Climate - Auxiliary climate' screen should match with CAR REMOTE 'MY CABIN COMFORT' menu
7. Under 'MY CABIN COMFORT - Set timer - SETTINGS' section, Seat Heating  zone selection should match with the vehicle seat heating zone selected under 'Climate - Settings' screen</t>
  </si>
  <si>
    <t>Deactivating 'MY CABIN COMFORT' from vehicle and validating it in My Bentley App</t>
  </si>
  <si>
    <t>1. Click on 'Temperature - Icon' button under 'Immediate Start' section in 'Climate - Auxiliary Climate' screen
2. Now launch My Bentley App --&gt; Go to CAR REMOTE screen and check the status under 'MY CABIN COMFORT' section</t>
  </si>
  <si>
    <t xml:space="preserve">1. Clicking on 'Temperature-Icon' button should deactivate 'MY CABIN COMFORT' in vehicle 
2. 'MY CABIN COMFORT' status should display as 'Not active' </t>
  </si>
  <si>
    <t>Scheduling Departure Timer for 'MY CABIN COMFORT' from vehicle along with enabling Seat Heating and setting desired temperature</t>
  </si>
  <si>
    <t xml:space="preserve">
• The focus of the screen should be on "Climate - Auxiliary climate" page on vehicle.
(HMI --&gt; Climate --&gt; "Climate" screen is launched --&gt; Select "Settings" button --&gt; "Climate - Settings" screen is launched --&gt; Select "Auxiliary Climate" --&gt; "Climate - Auxiliary climate" screen is launched)</t>
  </si>
  <si>
    <t xml:space="preserve">1. Select either 'Timer-1' / 'Timer-2' under 'Timer Programming' section of 'Climate - Auxiliary climate' screen
2. Select 'Timer-1' / 'Timer-2' and select the 'Departure date'(Ex : Sun 30 July 2023) and press 'Continue' button
3. Now set the 'Departure time'(Ex : 30.07.2023 :: 11:05) and press 'Ok' button
4. Notice that the recently updated timer('Timer-1' / 'Timer-2') is ticked 
5. Now launch My Bentley App --&gt; Go to CAR REMOTE screen and check the status under 'MY CABIN COMFORT' section
6. Now go to 'MY CABIN COMFORT - Quick start' section and check for 
     a. Target temperature
     b. Seat heating zone selected under 'Interior surface heating' section </t>
  </si>
  <si>
    <t>1. Clicking on either 'Timer-1' / 'Timer-2' should launch 'Climate - Departure date' screen where user can select the departure date along with 'Continue' button
2. User should be able to successfull set the departure date(Ex : Sun 30 July 2023) without any issues 
3. User should be able to successfull set the departure time(Ex : 30.07.2023 :: 11:05) without any issues 
4. The recently updated timer('Timer-1' / 'Timer-2') should be ticked under 'Climate - Auxiliary Climate' screen
5. 'MY CABIN COMFORT' section should display the scheduled timer details under its status in CAR REMOTE screen (Ex : 'MY CABIN COMFORT' scheduled - 30/07/2023 11:05)
6. Under 'MY CABIN COMFORT - Quick start' section, Target temperature and seat heating zone selection should match with the vehicle target temperature set &amp; seat heating zone selected under 'Climate - Settings' screen</t>
  </si>
  <si>
    <t>Schedule a duplicate timer under 'MY CABIN COMFORT - Set timer' tab of My Bentley App</t>
  </si>
  <si>
    <t>1. In 'Set timer'  tab --&gt;Set future time for Timer-1  
2. Try to set the Timer-2 schedule as same date &amp; time of Timer-1 &amp; Observe.</t>
  </si>
  <si>
    <t>Duplicate timer notification must be displayed.</t>
  </si>
  <si>
    <t> </t>
  </si>
  <si>
    <t>Enable both Timer-1 &amp; Timer-2 under 'MY CABIN COMFORT - Set timer' tab of My Bentley App</t>
  </si>
  <si>
    <t>1. In 'Set timer'  tab --&gt;Set future time for Timer-1  
2. Try to set the Timer-2 schedule a different date &amp; time
3. Click on 'SYNC TO CAR' button &amp; Observe
4 Go to vehicle and check both 'Timer-1' &amp; 'Timer-2' are enabled under'Climate - Auxiliary climate' page on vehicle.
(HMI --&gt; Climate --&gt; 'Climate' screen is launched --&gt; Select 'Settings' button --&gt; 'Climate - Settings' screen is launched --&gt; Select 'Auxiliary Climate' --&gt; 'Climate - Auxiliary climate' screen is launched)</t>
  </si>
  <si>
    <t>1. User should be able to set 'Timer-1' with the selected date and time
2. User should be able to set 'Timer-2' with the selected date and time
3. User should be displayed with 'Successfully sent to car' message and finally ''MY CABIN COMFORT'' section under CAR REMOTE screen should display the scheduled timer details(i.e. which the recent one should be displayed)
(Ex : 'MY CABIN COMFORT' scheduled - Tomorrow 09:00)
4. Both 'Timer-1' &amp; 'Timer-2' should be ticked under 'Climate - Auxiliary climate' page on vehicle.</t>
  </si>
  <si>
    <t>• The screen focus is in "My Bentley App - SERVICE MANAGEMENT" page
( My Bentley App --&gt; LOGIN OR REGISTER --&gt; Email --&gt; Enter valid email id --&gt; NEXT --&gt; Enter the Password --&gt; NEXT --&gt; Vehicle "DASHBOARD" Screen --&gt; Select "i" icon --&gt; SERVICE MANAGEMENT screen )</t>
  </si>
  <si>
    <t>Validating the screen with Bentley style guide.</t>
  </si>
  <si>
    <t>My Battery Charge</t>
  </si>
  <si>
    <t>Ensure that below preconditions are met before start the testing for this service
• This service applicable for only on PHEV models
• Vehicle must be connected to network  
• My Bentley mobile app should have valid credentials.
• User has paired his My Bentley app to the vehicle as a primary user
• Vehicle is licensed for the service, the service is available for use
• My Bentley mobile app -- &gt; Service Management -- &gt; 'My Battery Charge' should be enabled
• Battery Charger connected to Mains Voltage</t>
  </si>
  <si>
    <t>Verify 'MY BATTERY CHARGE' section in CAR REMOTE screen</t>
  </si>
  <si>
    <t xml:space="preserve">• The screen focus is in "My Bentley App - CAR REMOTE" page
( My Bentley App --&gt; LOGIN OR REGISTER --&gt; Email --&gt; Enter valid email id --&gt; NEXT --&gt; Enter the Password --&gt; NEXT --&gt; Vehicle "DASHBOARD" Screen --&gt; CAR REMOTE )
</t>
  </si>
  <si>
    <t>Observe the 'MY BATTERY CHARGE' section</t>
  </si>
  <si>
    <t>Under CAR REMOTE screen of 'MY BATTERY CHARGE' section :
1. Title : MY BATTERY CHARGE
2. Image : Vehicle Connected to Charger Image to be displayed
3. Battery Charge Status : “Active - Time” / 'Not Active' /  'Error'</t>
  </si>
  <si>
    <t>Verify launching of 'MY BATTERY CHARGE' service via My Bentley App</t>
  </si>
  <si>
    <t>• The screen focus is in "My Bentley App - CAR REMOTE" page
( My Bentley App --&gt; LOGIN OR REGISTER --&gt; Email --&gt; Enter valid email id --&gt; NEXT --&gt; Enter the Password --&gt; NEXT --&gt; Vehicle "DASHBOARD" Screen --&gt; CAR REMOTE )
• Ignition is OFF</t>
  </si>
  <si>
    <t>• In Port Charger should be connected to AC Mains
• Make sure that RBC is active in the Car
• Make sure that RBC Timer is scheduled for future time(i.e. 12 Hours  from the current time) and SWITCH TIMER MODE is activated under MY BATTERY CHARGE screen</t>
  </si>
  <si>
    <t>In 'CAR REMOTE' screen , Tap on 'MY BATTERY CHARGE' section and Observe</t>
  </si>
  <si>
    <t>'MY BATTERY CHARGE' screen should launch displaying : 
* Battery charge tab : 
1. Title : MY BATTERY CHARGE
2. Battery Charge Status should be displayed(i.e. Percentage of Battery Charge , If Charging in progress -- Time remaining for complete charge , Charger plug status)
3. QUICK START button option should be displayed in bold
* Set timer tab : 
1. Title : MY BATTERY CHARGE
2. Timer - 1 with Enable/Disable button
3. Timer - 2 with Enable/Disable button
4. SYNC TO CAR button(Greyed Out) option to be displayed</t>
  </si>
  <si>
    <t>Verify 'MY BATTERY CHARGE - Quick Start' activation via My Bentley mobile app</t>
  </si>
  <si>
    <t>• The screen focus is in "My Bentley App - MY BATTERY CHARGE - Battery charge" page
( My Bentley App --&gt; LOGIN OR REGISTER --&gt; Email --&gt; Enter valid email id --&gt; NEXT --&gt; Enter the Password --&gt; NEXT --&gt; Vehicle "DASHBOARD" Screen --&gt; CAR REMOTE --&gt; MY BATTERY CHARGE - Battery charge Page)
• Ignition is OFF</t>
  </si>
  <si>
    <t>• In Port Charger should be connected to AC Mains
• Make sure that RBC is active in the Car
• Make sure that RBC Timer is scheduled for future time(i.e. 12 Hours  from the current time) and SWITCH TIMER MODE is activated under MY BATTERY CHARGE screen
• Make sure Timer scheduled for start of battery charge displayed under 'My Battery Charge' section under CAR REMOTE screen</t>
  </si>
  <si>
    <t>Click on the  'QUICK START' Button.</t>
  </si>
  <si>
    <t>Selecting 'QUICK START' button under 'MY BATTERY CHARGE - Battery charge' screen should display :  
1. Sending Message to Car followed with Successfully sent to car message under 'MY BATTERY CHARGE' section in CAR REMOTE screen
2. Currently RBC Active Status + Timer need to be displayed under 'MY BATTERY CHARGE' section in CAR REMOTE screen
3. 'QUICK START' button should display as  'SWITCH TO TIMER MODE'
4.  In Vehicle PHEV battery should start charging and the charging status need to be displayed in Kombi</t>
  </si>
  <si>
    <t>Verify stopping of already activated 'MY BATTERY CHARGE' from My Bentley mobile app</t>
  </si>
  <si>
    <t>• Make sure that RBC is active in the Car
• Make sure that the battery is getting charged and displaying the status as 'Active - xx hrs yy mins')
• Make sure that RBC Timer is scheduled for future time(i.e. 12 Hours  from the current time)</t>
  </si>
  <si>
    <t xml:space="preserve">
Click on 'SWITCH TO TIMER MODE' button</t>
  </si>
  <si>
    <t>Selecting 'SWITCH TO TIMER MODE' button under 'MY BATTERY CHARGE - Battery charge' screen should display :  
1. Sending Message to Car followed with Successfully sent to car message under 'MY BATTERY CHARGE' section in CAR REMOTE screen
2. Remote Battery Charge should get deactivated in vehicle(' MY BATTERY CHARGE  status should display 'Timer Scheduled - Day Time' under CAR REMOTE screen)
3. 'SWITCH TO TIMER MODE'  button should display as  'QUICK START'
4. Vehicle PHEV Charging status should not be displayed in Kombi</t>
  </si>
  <si>
    <t>Verify 'MY BATTERY CHARGE' timer scheduling from My Bentley mobile app</t>
  </si>
  <si>
    <t>• The screen focus is in "My Bentley App - MY BATTERY CHARGE - Set timer" page
( My Bentley App --&gt; LOGIN OR REGISTER --&gt; Email --&gt; Enter valid email id --&gt; NEXT --&gt; Enter the Password --&gt; NEXT --&gt; Vehicle "DASHBOARD" Screen --&gt; CAR REMOTE --&gt; MY BATTERY CHARGE - Set timer Page)</t>
  </si>
  <si>
    <t>• In Port Charger should be connected to AC Mains
• Make sure that RBC is active in the Car.
• Make sure that no RBC Timer is scheduled for</t>
  </si>
  <si>
    <t xml:space="preserve">
1. Set the RBC Timer via 'Set timer' tab :
( My Bentley App --&gt; Car Remote --&gt; My Battery Charge --&gt; 'Set timer' tab --&gt; Set the RBC Timer(Timer 1 / Timer 2) for future time(i.e. 12 Hours  from the current time) --&gt; Toggle Button = Enable )
2. Set 'Active Repeat' for the selected RBC Timer :
Select the RBC timer and activate repeat (i.e. Select days in a week for activate repeat) --&gt; Toggle Button = Enable
3. Save the RBC Timer :
After executing step 1 &amp; step 2, Click on 'Save'  --&gt; SYNC TO CAR 
4. Now Check for Vehicle Remote Battery Charge status displayed under 'MY BATTERY CHARGE' in CAR REMOTE screen
Note : If user is setting the timer for today, They should be able to set post 15 mins of current time(i.e. System should not allow to set the timer within post 15 mins of current time)</t>
  </si>
  <si>
    <t>1. Set the RBC Timer via 'Set timer' tab : The RBC Timer should be set successfully via 'Set Timer' tab
2. Set 'Active Repeat' for the selected RBC Timer : The repeat functionality should be set for the current RBC timer
3. Save the RBC Timer : Sending Message to Car followed with Successfully sent to car message under 'MY BATTERY CHARGE' in CAR REMOTE screen should be displayed
4. Under 'MY BATTERY CHARGE ' section in CAR REMOTE screen : 'MY BATTERY CHARGE' status should display the future scheduled activation time in app under CAR REMOTE screen(Ex : Timer scheduled - Tomorrow 12:00)</t>
  </si>
  <si>
    <t>Verify 'MY BATTERY CHARGE' along with 'My Cabin Comfort' timer scheduling from My Bentley mobile app</t>
  </si>
  <si>
    <t>• The screen focus is in "My Bentley App - MY BATTERY CHARGE - Set timer" page
( My Bentley App --&gt; LOGIN OR REGISTER --&gt; Email --&gt; Enter valid email id --&gt; NEXT --&gt; Enter the Password --&gt; NEXT --&gt; Vehicle "DASHBOARD" Screen --&gt; CAR REMOTE --&gt; MY BATTERY CHARGE - Set timer Page) 
• Ignition is OFF
• Make sure at least 30% of Fuel to be present in Fuel Tank</t>
  </si>
  <si>
    <t>• In Port Charger should be connected to AC Mains
• Make sure that car there is no RBC Charge Timer scheduled</t>
  </si>
  <si>
    <t xml:space="preserve">
1. Set the RBC Timer via 'Set timer' tab :
( My Bentley App --&gt; Car Remote --&gt; My Battery Charge --&gt; 'Set timer' tab --&gt; Schedule the RBC Timer(Timer 1 / Timer 2) for future time(i.e. Post 30 mins from current time) --&gt; Toggle Button = Enable )
2. Activate 'My Cabin Comfort' for the selected RBC Timer :
Select the RBC timer and activate My Cabin Comfort --&gt; Toggle Button = Enable
3. Save the RBC Timer :
After executing step 1 &amp; step 2, Click on 'Save'  --&gt; SYNC TO CAR 
4. Check for Vehicle Remote Battery Charge and My Cabin Comfort status displayed under 'MY BATTERY CHARGE' in CAR REMOTE screen
Note : If user is setting the timer for today, They should be able to set post 15 mins of current time(i.e. System should not allow to set the timer within post 15 mins of current time</t>
  </si>
  <si>
    <t>1. Set the RBC Timer via 'Set timer' tab : The RBC Timer should be set successfully via 'Set Timer' tab
2. Activate 'My Cabin Comfort' for the selected RBC Timer : The 'My Cabin Comfort' functionality should be set for the current RBC timer
3. Save the RBC Timer : Sending Message to Car followed with Successfully sent to car message under 'MY BATTERY CHARGE' in CAR REMOTE screen should be displayed
4. Under 'MY BATTERY CHARGE ' section in CAR REMOTE screen : 'MY BATTERY CHARGE' status should display the future scheduled activation time in app under CAR REMOTE screen(Ex : Timer scheduled - Tomorrow 12:00)</t>
  </si>
  <si>
    <t>Setting timer from vehicle (Set first of two timers always)</t>
  </si>
  <si>
    <t>The focus of the screen should be on Timer page on vehicle.
(HMI -- &gt; Hybrid -- &gt; Timer)</t>
  </si>
  <si>
    <t>1. Click on a Charge and Precool/heat timer 
2. Select a future date &amp; time
3. Click on Back
4. Select on a tick box to activate
5. Observe in My Bentley app 'My battery timer'</t>
  </si>
  <si>
    <t>The App timer should update as below,
1. Date &amp; time
2.Timer active &amp; deactivate status</t>
  </si>
  <si>
    <t>Scheduling 'Duplicate timer'</t>
  </si>
  <si>
    <t>• The screen focus is in "My Bentley App - MY BATTERY CHARGE - Set timer" page
( My Bentley App --&gt; LOGIN OR REGISTER --&gt; Email --&gt; Enter valid email id --&gt; NEXT --&gt; Enter the Password --&gt; NEXT --&gt; Vehicle "DASHBOARD" Screen --&gt; CAR REMOTE --&gt; MY BATTERY CHARGE - Set timer Page)
• Ignition is OFF
• Make sure at least 30% of Fuel to be present in Fuel Tank</t>
  </si>
  <si>
    <t>• Make sure at least 30% of Fuel to be present in Fuel Tank</t>
  </si>
  <si>
    <t>Under 'MY  BATTERY CHARGE - Set timer' tab --&gt;Set future time for Timer-1  -&gt; Set the Timer-2 schedule as same date &amp; time of Timer-1 --&gt; Click 'SYNC TO CAR' button.</t>
  </si>
  <si>
    <t xml:space="preserve">• The screen focus is in "My Bentley App - DASHBOARD" page
( My Bentley App --&gt; LOGIN OR REGISTER --&gt; Email --&gt; Enter valid email id --&gt; NEXT --&gt; Enter the Password --&gt; NEXT --&gt; Vehicle "DASHBOARD" Screen )
• Ignition is OFF
• Ensure vehicle has some fuel in the tank some charge in the PHEV/BEV traction battery.
</t>
  </si>
  <si>
    <t xml:space="preserve">• Note the fuel level and the range value in the kombi. </t>
  </si>
  <si>
    <t>Refresh the data --&gt;Tap on “Update Vehicle Data” link from the notification pop up. -&gt; Note the SOC ,Fuel level &amp; range values in the kombi display and compare with the values displayed in the app. in percent and range in miles/kms.</t>
  </si>
  <si>
    <t>Verify Single Service Activation / Deactivation of 'MY BATTERY CHARGE' service in SERVICE MANAGEMENT screen</t>
  </si>
  <si>
    <t>• The screen focus is in "My Bentley App - SERVICE MANAGEMENT" page
( My Bentley App --&gt; LOGIN OR REGISTER --&gt; Email --&gt; Enter valid email id --&gt; NEXT --&gt; Enter the Password --&gt; NEXT --&gt; Vehicle "DASHBOARD" Screen --&gt;  Select "i" icon --&gt; SERVICE MANAGEMENT screen )</t>
  </si>
  <si>
    <t>1. In 'SERVICE MANAGEMENT' screen,  Select 'My Battery Charge' = Activate / Deactivate
2. Go to CAR REMOTE screen and check the 'My Battery Charge' section</t>
  </si>
  <si>
    <t>In My Bentley App, Under 'CAR REMOTE' screen
1. My Battery Charge = Deactivate --&gt; 'My Battery Charge' Service should not be accessible under CAR REMOTE Screen(i.e. Under CAR REMOTE screen , 'My Battery Charge' section should be greyed out and should display 'Function disabled' text)
2. My Battery Charge = Activate --&gt; 'My Battery Charge' Service should be active and accessible under CAR REMOTE Screen</t>
  </si>
  <si>
    <t>Verification of PHEV Service information in Car Finder feature</t>
  </si>
  <si>
    <t>• The screen focus is in "My Bentley App - NAVIGATION" page
( My Bentley App --&gt; LOGIN OR REGISTER --&gt; Email --&gt; Enter valid email id --&gt; NEXT --&gt; Enter the Password --&gt; NEXT --&gt; Vehicle "DASHBOARD" Screen --&gt;  Select "Navigation" icon --&gt; NAVIGATION screen launched --&gt; ALLOW )</t>
  </si>
  <si>
    <t>Click on the Vehicle image on the map.</t>
  </si>
  <si>
    <t>Click on vehicle image map view pointer displays : 
1. Address Info on Car Parked Location
2. Fuel &amp; PHEV Charge Info should be matched with DASHBOARD Combined range.</t>
  </si>
  <si>
    <t>Service Management</t>
  </si>
  <si>
    <t>Ensure that below preconditions are met before start the testing for this service
• Vehicle is connected to network 
• Primary registration process is successfully completed. 
• “My Bentley in Car Services' and 'My Bentley Remote Services' license is valid and in use
• PHEV Vehicle is preferred for testing(i.e. for testing 'My Cabin Comfort' &amp; 'My Car Statistics') Single Service Activation / Deactivation
• 'Activate Heating' is an optional feature in vehicle, If the vehicle is fitted with Remote Park Heater ECU then only we can test it in Vehicle(Not Applicable : NAR &amp; CHN)
• 'Theft Alert' (Not Applicable : NAR &amp; CHN)
• Login to My Bentley App with valid credentials</t>
  </si>
  <si>
    <t>Verify SERVICE MANAGEMENT screen and it's content</t>
  </si>
  <si>
    <t>1.In DASHBOARD Screen ( 
Vehicle Image + Vehicle Status Information + Vehicle Information Icon(i) need to be displayed at right top corner of screen)
2. Select 'i' icon --&gt; Service Management  and observe</t>
  </si>
  <si>
    <t>Selecting 'Service Management' displays the List of below mentioned services where user can activate or deactivate the service
- Theft Alert (Not Applicable for NAR &amp; CHN)
- Lock My Car
- Find My Car
- My Car Status
- Perimeter Alert (Applicable only for NAR)
- Speed and Curfew Alert (Applicable only for NAR)
- Valet Alert(Applicable only for NAR)
- My Cabin Comfort - (PHEV Only)
- My Car Statistics - (PHEV Only)
- My Battery Charge - (PHEV Only)
- Activate Heating(Not Applicable for NAR &amp; CHN) 
- Remote Park Assist (TBC)</t>
  </si>
  <si>
    <t>Verify Single Service Activation / Deactivation of 'Lock My Car' service in SERVICE MANAGEMENT screen</t>
  </si>
  <si>
    <t xml:space="preserve">1. In 'SERVICE MANAGEMENT' screen, Select 'Lock My Car' = Activate / Deactivate
2. Go to DASHBOARD screen and check the 'Remote Lock / Unlock' section </t>
  </si>
  <si>
    <t>In My Bentley App, Under 'DASHBOARD' screen
1. Lock My Car = Deactivate --&gt; 'Remote Lock / Unlock' Service should not be accessible under DASHBOARD Screen(i.e. Under DASHBOARD screen , 'Remote Lock / Unlock' section should be greyed out and should display 'The service is unavailable. The service has been deactivated' text should be displayed)
2. Lock My Car = Activate --&gt; 'Remote Lock / Unlock' Service should be accessible under DASHBOARD Screen</t>
  </si>
  <si>
    <t>Verify Single Service Activation / Deactivation of 'Find My Car' service in SERVICE MANAGEMENT screen</t>
  </si>
  <si>
    <t>1. In 'SERVICE MANAGEMENT' screen, Select 'Find My Car' = Activate / Deactivate 
2. Go to NAVIGATION screen and Check for 'Car Finder' icon</t>
  </si>
  <si>
    <t>In My Bentley App, Under 'NAVIGATION' screen
1.Find My Car = Deactivate --&gt; 'Car Finder' Service should not be accessible under NAVIGATION screen(i.e. Under NAVIGATION screen , 'Car Finder' icon should not be displayed)
2. Find My Car = Activate --&gt; 'Car Finder' Service should be accessible under NAVIGATION screen(i.e. Under NAVIGATION screen , 'Car Finder' icon should be displayed and clicking on it should display the exact location of car / vehicle in map view)</t>
  </si>
  <si>
    <t>Verify Single Service Activation / Deactivation of 'My Car Status' service in SERVICE MANAGEMENT screen</t>
  </si>
  <si>
    <t>1. In 'SERVICE MANAGEMENT' screen, Select 'My Car Status' = Activate / Deactivate
2. Go to DASHBOARD screen and check the 'Vehicle Status Information' section</t>
  </si>
  <si>
    <t>In My Bentley App, Under 'DASHBOARD' screen
1. My Car Status = Deactivate --&gt; 'Vehicle Status Information' details should not be displayed under DASHBOARD Screen(i.e. Under DASHBOARD screen , 'Vehicle Status Information' section should be greyed out and should display 'The service is unavailable. The service has been deactivated' text)
2. My Car Status = Activate --&gt; 'Vehicle Status Information' details should be displayed under DASHBOARD Screen(i.e. Door Status , Window Status , Sun Roof Status , Fuel Range Info , Boot Status , Bonnet Status , Vehicle Service Info etc.)</t>
  </si>
  <si>
    <t>Verify Single Service Activation / Deactivation of 'My Cabin Comfort' service in SERVICE MANAGEMENT screen</t>
  </si>
  <si>
    <t>1. In 'SERVICE MANAGEMENT' screen,  Select 'My Cabin Comfort' = Activate / Deactivate
2. Go to CAR REMOTE screen and check the 'My Cabin Comfort' section</t>
  </si>
  <si>
    <t>In My Bentley App, Under 'CAR REMOTE' screen
1. My Cabin Comfort = Deactivate --&gt; 'My Cabin Comfort' Service should not be accessible under CAR REMOTE Screen(i.e. Under CAR REMOTE screen , 'My Cabin Comfort' section should be greyed out and should display 'Function disabled' text)
2. My Cabin Comfort = Activate --&gt; 'My Cabin Comfort' Service should be active and accessible under CAR REMOTE Screen</t>
  </si>
  <si>
    <t>Verify Single Service Activation / Deactivation of 'My Car Statistics' service in SERVICE MANAGEMENT screen</t>
  </si>
  <si>
    <t>1. In 'SERVICE MANAGEMENT' screen,  Select 'My Car Statistics' = Activate / Deactivate
2. Go to CAR REMOTE screen and check the 'My Car Statistics' section</t>
  </si>
  <si>
    <t>In My Bentley App, Under 'CAR REMOTE' screen
1. My Car Statistics = Deactivate --&gt; 'My Car Statistics' Service should not be accessible under CAR REMOTE Screen(i.e. Under CAR REMOTE screen , 'My Car Statistics' section should be greyed out and should display 'Function disabled' text)
2. My Car Statistics = Activate --&gt; 'My Car Statistics' Service should be active and accessible under CAR REMOTE Screen</t>
  </si>
  <si>
    <t>Verify Single Service Activation / Deactivation of 'My Battery Charge' service in SERVICE MANAGEMENT screen</t>
  </si>
  <si>
    <t>EU</t>
  </si>
  <si>
    <t>Verify Single Service Activation / Deactivation of 'Theft Alarm' service in SERVICE MANAGEMENT screen</t>
  </si>
  <si>
    <t>1. In 'SERVICE MANAGEMENT' screen, Select 'Theft Alert' = Activate / Deactivate
* For Vehicle with No 'Stolen Vehicle Tracking' : 
2. Go to CAR REMOTE screen and check the 'Theft Alarm' section
* For Vehicle with 'Stolen Vehicle Tracking' : 
3. Go to CAR REMOTE screen , Launch 'STOLEN VEHICLE TRACKING' and check the Theft Alarm status under 'STOLEN VEHICLE TRACKING - My Alerts' page</t>
  </si>
  <si>
    <t xml:space="preserve">1. User should be able to activate or deactivate 'Theft Alert' service without any issues under 'SERVICE MANAGEMENT' screen
* For Vehicle with No 'Stolen Vehicle Tracking' : 
In My Bentley App, Under 'CAR REMOTE' screen
2a. Theft Alert = Deactivate --&gt; 'Theft Alarm' Service should not be accessible under CAR REMOTE screen(i.e. Under CAR REMOTE screen , 'Theft Alarm' section should be greyed out and should display 'Function disabled' text)
2b. Theft Alert = Activate --&gt; 'Theft Alarm' Service should be active and accessible under CAR REMOTE screen
* For Vehicle with 'Stolen Vehicle Tracking' :
In My Bentley App, Under 'STOLEN VEHICLE TRACKING - My Alerts' screen
3a. Theft Alert = Deactivate --&gt; 'STOLEN VEHICLE TRACKING - My Alerts' Service should not be accessible displaying  some kind of message stating 'This service is unavailable. It can be switched on in the Service Management screen for this vehicle'
3b. Theft Alert = Activate --&gt; 'STOLEN VEHICLE TRACKING - My Alerts' screen should be active and should display
• “No messages” when no Theft Alarms present 
•  Theft Alarm such as 'Interior alarm' / 'Break-in alarm' / 'Trailer alarm' / 'Motion alarm' ….etc. along with date and time stamp to be displayed if present
•  'CLEAR ALARM HISTORY / RESET ALERT' button : To clear theft alarm
</t>
  </si>
  <si>
    <t>NAR</t>
  </si>
  <si>
    <t>Verify Single Service Activation / Deactivation of 'Speed &amp; Curfew Alert' service in SERVICE MANAGEMENT screen</t>
  </si>
  <si>
    <t>1. In 'SERVICE MANAGEMENT' screen,  Select 'Speed &amp; Curfew Alert' = Activate /  Deactivate
2. Go to CAR REMOTE screen and check the 'My Alerts - Speed &amp; Curfew' section</t>
  </si>
  <si>
    <t>In My Bentley App, Under 'CAR REMOTE - MY ALERTS' screen
1. Speed &amp; Curfew Alert = Deactivate --&gt; 'Speed &amp; Curfew Alert' Service should not be accessible under CAR REMOTE - MY ALERTS Screen(i.e. Under CAR REMOTE - MY ALERTS screen , 'Speed' &amp; 'Curfew' sections should be greyed out and not accessible
2. Speed &amp; Curfew Alert = Activate --&gt; 'Speed &amp; Curfew Alert' Service should be active and  accessible under CAR REMOTE - MY ALERTS Screen(i.e. Under CAR REMOTE - MY ALERTS screen , 'Speed' &amp; 'Curfew' section should be accessible where customer can configure and activate the speed &amp; curfew alert for the vehicle)</t>
  </si>
  <si>
    <t>Verify Single Service Activation / Deactivation of 'Perimeter Alert' service in SERVICE MANAGEMENT screen</t>
  </si>
  <si>
    <t>1. In 'SERVICE MANAGEMENT' screen, Select 'Perimeter Alert' = Activate / Deactivate
2. Go to CAR REMOTE screen and check the 'My Alerts - Perimeter' section</t>
  </si>
  <si>
    <t>In My Bentley App, Under 'CAR REMOTE - MY ALERTS' screen
1. Perimeter Alert = Deactivate --&gt; 'Perimeter Alert' Service should not be accessible under CAR REMOTE - MY ALERTS Screen(i.e. Under CAR REMOTE - MY ALERTS screen , 'Perimeter' section should be greyed out and not accessible
2. Perimeter Alert = Activate --&gt; 'Perimeter Alert' Service should be active and  accessible under CAR REMOTE - MY ALERTS Screen(i.e. Under CAR REMOTE - MY ALERTS screen , 'Perimeter' section should be accessible where customer can configure and activate the perimeter alert for the vehicle)</t>
  </si>
  <si>
    <t>Verify Single Service Activation / Deactivation of 'Valet Alert' service in SERVICE MANAGEMENT screen</t>
  </si>
  <si>
    <t>1. In 'SERVICE MANAGEMENT' screen,  Select 'Valet Alert' = Activate / Deactivate
2. Go to CAR REMOTE screen and check the 'My Alerts - Valet' section</t>
  </si>
  <si>
    <t>In My Bentley App, Under 'CAR REMOTE - MY ALERTS' screen
1. Valet Alert = Deactivate --&gt; 'Valet Alert' Service should not be accessible under CAR REMOTE - MY ALERTS Screen(i.e. Under CAR REMOTE - MY ALERTS screen , 'Perimeter' section should be greyed out and not accessible
2. Valet Alert = Activate --&gt; 'Valet Alert' Service should be active and  accessible under CAR REMOTE - MY ALERTS Screen(i.e. Under CAR REMOTE - MY ALERTS screen , 'Valet' section should be accessible where customer can configure and activate the valet alert for the vehicle)</t>
  </si>
  <si>
    <t>Verify Single Service Activation / Deactivation of 'Activate Heating' service in SERVICE MANAGEMENT screen</t>
  </si>
  <si>
    <t>1. In 'SERVICE MANAGEMENT' screen, Select  'Activate Heating' = Activate / Deactivate
2. Go to CAR REMOTE screen check the 'Activate Heating' section under CAR REMOTE screen</t>
  </si>
  <si>
    <t>In My Bentley App, Under 'CAR REMOTE' screen
1. Activate Heating = Deactivate --&gt; 'Activate Heating' Service should not be accessible under CAR REMOTE Screen(i.e. Under CAR REMOTE screen , 'Activate Heating' section should be greyed out and should display 'Function disabled' text)
2. Activate Heating = Activate --&gt; 'Activate Heating' Service should be active and accessible under CAR REMOTE Screen</t>
  </si>
  <si>
    <t>Activate Heating</t>
  </si>
  <si>
    <t>Ensure that below preconditions are met before start the testing for this service
• This service applicable for EU Non-PHEV models
• Remote park Heater service is having a valid license and in use
• Primary user successfully  registered with vehicle
• My Bentley mobile app should have valid credentials.
• My Bentley mobile app -- &gt; Service Management -- &gt; 'Remote Park Heater' should be enabled
• Ignition = Off
• Make sure at least 30% of Fuel to be present in Fuel Tank</t>
  </si>
  <si>
    <t>Verifying the status of 'ACTIVATE HEATING' in CAR REMOTE screen of My Bentley App</t>
  </si>
  <si>
    <t>Check the status of 'ACTIVATE HEATING' under CAR REMOTE screen</t>
  </si>
  <si>
    <t>The status should be displayed as 'Not Active' under 'ACTIVATE HEATING' section of CAR REMOTE screen</t>
  </si>
  <si>
    <t>Accessing 'ACTIVATE HEATING' in My Bentley App</t>
  </si>
  <si>
    <t>In CAR REMOTE screen, click 'ACTIVATE HEATING' tile</t>
  </si>
  <si>
    <t>'ACTIVATE HEATING' screen should be displayed with following options 
a. 'Quick start' tab 
b. 'Set timer' tab</t>
  </si>
  <si>
    <t>Verification of 'Quick start' tab under 'ACTIVATE HEATING' screen in My Bentley App</t>
  </si>
  <si>
    <t>• The screen focus is in "MY CABIN COMFORT" page 
( My Bentley App --&gt; LOGIN OR REGISTER --&gt; Email --&gt; Enter valid email id --&gt; NEXT --&gt; Enter the Password --&gt; NEXT --&gt; Vehicle "DASHBOARD" Screen --&gt; CAR REMOTE --&gt; ACTIVATE HEATING )</t>
  </si>
  <si>
    <t>In 'ACTIVATE HEATING' screen, Observe the 'Quick start' tab</t>
  </si>
  <si>
    <t xml:space="preserve">In 'ACTIVATE HEATING - Quick start' tab, The following options need to be displayed.
1. Title : 'ACTIVATE HEATING'
2. Information related to 'ACTIVATE HEATING' (Ex : Prepare your Bentley in advance to keep you and all your passengers comfortable from the moment you step inside) 
3. Duration(mins) : 10,20,30,40,50,60
4. 'START' button
</t>
  </si>
  <si>
    <t>Verification of 'Set timer' tab under 'ACTIVATE HEATING' screen in My Bentley App</t>
  </si>
  <si>
    <t xml:space="preserve">• The screen focus is in "ACTIVATE HEATING" page 
( My Bentley App --&gt; LOGIN OR REGISTER --&gt; Email --&gt; Enter valid email id --&gt; NEXT --&gt; Enter the Password --&gt; NEXT --&gt; Vehicle "DASHBOARD" Screen --&gt; CAR REMOTE --&gt; ACTIVATE HEATING )
</t>
  </si>
  <si>
    <t>In 'ACTIVATE HEATING' screen, Observe the 'Set timer' tab</t>
  </si>
  <si>
    <t>In 'ACTIVATE HEATING - Set timer' tab, The following options need to be displayed.
1. Title : 'ACTIVATE HEATING'
2. Departure time (A timer for a specific time in the future)
3. Toggle button to enable / disable Departure time
4.'SYNC TO CAR' button
Note : 'SYNC TO CAR' button is disabled until unless the timer is enabled</t>
  </si>
  <si>
    <t>Start the heater under 'ACTIVATE HEATING - Quick start' page of My Bentley App.</t>
  </si>
  <si>
    <t>• The screen focus is in "ACTIVATE HEATING - Quick start" page 
( My Bentley App --&gt; LOGIN OR REGISTER --&gt; Email --&gt; Enter valid email id --&gt; NEXT --&gt; Enter the Password --&gt; NEXT --&gt; Vehicle "DASHBOARD" Screen --&gt; CAR REMOTE --&gt; ACTIVATE HEATING - Quick start tab )
• Make sure at least 30% of Fuel to be present in Fuel Tank
• Vehicle Ignition = Off</t>
  </si>
  <si>
    <t>Under 'ACTIVATE HEATING - Quick start' page :
1. Select the duration in minutes in 10,20,30,40,50,60
2. Starting the heater 
( 'ACTIVATE HEATING - Quick start' page --&gt; Click 'START' button --&gt; Confirm the safety status information(Disclaimer) by clicking on 'VEHICLE IS PARKED SAFELY' button --&gt; Enter 'SPIN' --&gt; Sending Message to Car followed with Successfully sent to car message )</t>
  </si>
  <si>
    <t xml:space="preserve">1. The duration for which the Activate Heating to be enabled should be set successfully without any issues
2a. 'ACTIVATE HEATING' section under CAR REMOTE screen should display 'Active' Status    
2b. In 'ACTIVATE HEATING - Quick start' page, The 'START' button change to 'STOP' &amp; Remote Park Heater Quick Start should successfully activates only for 30 mins.
2c. In vehicle the heater should be ON  &amp; heating is in-progress. </t>
  </si>
  <si>
    <t>Stop the heater under 'ACTIVATE HEATING - Quick start' page of My Bentley App.</t>
  </si>
  <si>
    <t>• Activate Heating = On</t>
  </si>
  <si>
    <t>Under 'ACTIVATE HEATING - Quick start' page :
1. Stopping the heater 
( 'ACTIVATE HEATING - Quick start' page --&gt; Click 'STOP' button --&gt; Sending Message to Car followed with Successfully sent to car message )</t>
  </si>
  <si>
    <t xml:space="preserve">1a. 'ACTIVATE HEATING' section under CAR REMOTE screen should display 'Not Active' Status
1b. In 'ACTIVATE HEATING - Quick start' page, The 'STOP' button change to 'START'
1c. In vehicle the heater should be OFF state. </t>
  </si>
  <si>
    <t>Scheduling the heater for future time under 'ACTIVATE HEATING - Set timer' page of My Bentley App.</t>
  </si>
  <si>
    <t>• The screen focus is in "ACTIVATE HEATING - Set timer" page 
( My Bentley App --&gt; LOGIN OR REGISTER --&gt; Email --&gt; Enter valid email id --&gt; NEXT --&gt; Enter the Password --&gt; NEXT --&gt; Vehicle "DASHBOARD" Screen --&gt; CAR REMOTE --&gt; ACTIVATE HEATING - Set timer tab )
• Make sure at least 30% of Fuel to be present in Fuel Tank
• Vehicle Ignition = Off</t>
  </si>
  <si>
    <t>• Activate Heating = Off</t>
  </si>
  <si>
    <t>Under 'ACTIVATE HEATING - Set timer' page :
1. Schedule the Park heating for a future time
(Set/Edit a departure timer in future(i.e. Date &amp; Time) --&gt; Save --&gt; Enable the timer(i.e.Toggle Button = Enable) --&gt; SYNC TO CAR --&gt; (Confirm the safety status information(Disclaimer)) VEHICLE IS PARKED SAFELY --&gt; Enter 'SPIN' --&gt; Sending Message to Car )</t>
  </si>
  <si>
    <t>1a. 'ACTIVATE HEATING' section under CAR REMOTE screen should display 'Scheduled time' on the Status
1b. The Vehicle Remote Park Heater should be active within the scheduled time displaying active status in app along with timer info.</t>
  </si>
  <si>
    <t>Verify all the screens with Bentley style guide.</t>
  </si>
  <si>
    <t>Observe all the screen's font, icon, button, content, colour.</t>
  </si>
  <si>
    <t>All the font, icon, button, content, colour should be followed as per Bentley style guide.</t>
  </si>
  <si>
    <t>Roadside Assistance</t>
  </si>
  <si>
    <t>Ensure that below preconditions are met before start the testing for this service
• Primary registration process is successfully completed. 
• 'Roadside assistance call' license is valid and in use
• Login to My Bentley App with valid credentials
• Mobile in good network reception area</t>
  </si>
  <si>
    <t>Verify 'ROADSIDE ASSISTANCE' number via My Bentley App</t>
  </si>
  <si>
    <t>• The screen focus is in "My Bentley App - ROADSIDE ASSISTANCE" page
( My Bentley App --&gt; LOGIN OR REGISTER --&gt; Email --&gt; Enter valid email id --&gt; NEXT --&gt; Enter the Password --&gt; NEXT --&gt; Vehicle "DASHBOARD" screen --&gt;Click on "CAR REMOTE" tab --&gt; Select "ROADSIDE ASSISTANCE" section )</t>
  </si>
  <si>
    <t xml:space="preserve">
1. In 'ROADSIDE ASSISTANCE' screen, Select 'CALL NOW' button and validate the Breakdown Contact numbers displayed </t>
  </si>
  <si>
    <t>The Breakdown Contact Information should be displayed as : 
UK : +44 800 316 1333
EU &amp; Ireland : +49 221802471854
NAR &amp; CND : +1 800 455 5045
CHN : +864000032877</t>
  </si>
  <si>
    <t>Verify Breakdown Call initiation Form My Bentley App</t>
  </si>
  <si>
    <t xml:space="preserve">
1. In 'ROADSIDE ASSISTANCE' screen, Select 'CALL NOW' button and try to establish call to the region specific BCALL contact number  
UK : +44 800 316 1333
EU &amp; Italy : 00800 4886 4886
NAR &amp; CND : +1 800 323 0100
CHN : +864000032877
2. After BCALL established, Check whether there is a two way communication establishment between Agent and Customer while BCALL is active
3.End the ongoing Breakdown CALL</t>
  </si>
  <si>
    <t>1. Breakdown Call to respective numbers should be successfull
UK : +44 800 316 1333
EU &amp; Ireland : +49 221802471854
NAR &amp; CND : +1 800 455 5045
CHN : +864000032877
2. Two way communication between Agent and Customer should be successfull
3. Breakdown Call should end without any issues</t>
  </si>
  <si>
    <t>Data Services</t>
  </si>
  <si>
    <t>Ensure that below preconditions are met before start the testing for this service
• Vehicle is connected to network 
• Primary registration process is successfully completed. 
• Login to My Bentley App with valid credentials</t>
  </si>
  <si>
    <t>Verify launching of 'EU-DATA SERVICES' web shop link(bentley.cubictelecom.com) via Bentley Support Web link(support.bentleymotors.com) in My Bentley App</t>
  </si>
  <si>
    <t xml:space="preserve">1. In 'Bentley Support Centre web link(support.bentleymotors.com)', Validate 'DATA SERVICES' page
* 21 - 25 MY (For Bentayga 21MY-25MY or your Continenta or Flying Spur 25MY) :
2a. Scroll down to '21 - 25 MY' section and Select 'BUY DATA' button 
2b. Select 'CONNECT NOW' button under 'bentley.cubictelecom.com' web portal
2c. Enter the VIN (Ex : SJAHA14V1SC025116) and click on 'Verify' button
2d. If vehicle compatibility check has passed, Click on 'Yes' button on the confirmation message(Is this the vehicle you would like to verify)
2e. Click on 'Continue' button on Message 'Enjoy seamless connectivity! - Continue registration with this vehicle?'
2f. Enter the requested details(i.e. First Name , Last Name , Email , Password) and click on 'Continue' button
2g. Enter the address details and click on 'Continue' button
2h. Open the validation email sent to the registered email id for activating the account and click on 'Activate account' button
2i. Enter the login credentials(i.e. Email &amp; Password) at 'bentley.cubictelecom.com' web portal and click on 'Login' button
2j. Check whether user able to shop the data for this vehicle 
* 26 MY+ (For Bentayga 26MY+ , Continental GT 26MY+ and Flying Spur 26MY+ :
3a. Scroll down to '26 MY+' section and Select 'GET DATA' button 
3b. Enter an vaild Email and click on 'CREATE ACCOUNT' button
3c. Click on 'NEXT' button under 'CREATE ACCOUNT' screen
3d. Enter an valid password and click on 'CREATE' button
3e. Click on 'ACCEPT' button under 'TERMS AND PRIVACY' screen
3f. Open the email and click on the validation link(VERIFY YOUR EMAIL ADDRESS)
3g. Go to My Bentley App Login page and try logging in with valid credentials(i.e. Log In to App by entering username and password)
3h. Click on 'ALLOW' button under 'BENTLEY-Allow Access' screen
</t>
  </si>
  <si>
    <t xml:space="preserve">1. 'DATA SERVICES' page should be launched displaying the below sections
a. '21 - 25 MY (For Bentayga 21MY-25MY or your Continenta or Flying Spur 25MY)' section with pre-requisites and steps for activating data plan along with 'BUY DATA' button
b. '26 MY+ (For Bentayga 26MY+ , Continental GT 26MY+ and Flying Spur 26MY+' section with pre-requisites and steps for activating data plan along with'GET DATA' button
* 21 - 25 MY (For Bentayga 21MY-25MY or your Continenta or Flying Spur 25MY) :
2a. 'bentley.cubictelecom.com' web portal should be launched along with 'CONNECT NOW' button
2b. 'Vehicle Identification Number(VIN)' screen is launched along with VIN entry field in order to use the vehicle's VIN to verify in-car connectivity compatibility
2c. Vehicle compatibility check is done and display status as 'Compatible : If vehicle compatibility check is passed' / 'Not Compatible : If vehicle compatibility check is failed'
• Is this the vehicle you would like to verify with 'Try again' and 'Yes' button
2d. Message 'Enjoy seamless connectivity! - Continue registration with this vehicle?' along with 'Try again' and 'Continue' button
2e. 'Register new account' screen is launched requesting user to enter 'First Name' , 'Last Name' , 'Email' , 'Password' details along with terms and conditions to accept with 'Back' and 'Continue' buttons
2f. 'Address details' screen is launched requesting the user to enter the address details along with with 'Back' and 'Continue' buttons
2g. An validation link will be sent to the registered email for activating the account
2h. The account should be activated and should take to 'bentley.cubictelecom.com' webportal for signing in
2i. 'bentley.cubictelecom.com' webportal DASHBOARD screen should be launched displaying the vehicle(Ex : SJAHA14V1SC025116)
2j. User should be able to shop data for the vehicle via 'bentley.cubictelecom.com' webportal withou any issues
* 26 MY+ (For Bentayga 26MY+ , Continental GT 26MY+ and Flying Spur 26MY+ :
3a. Cubic 3 'identity.vwgroup.io' web portal should be launched with Email entry field along with 'NEXT' and 'CREATE ACCOUNT' buttons
3b. 'CREATE ACCOUNT' screen is launched having email id along with 'NEXT' and 'LOGIN' buttons
3c. User is asked to enter the password along with 'BACK' &amp; 'CREATE' buttons
3d. 'TERMS AND PRIVACY' screen is launched along with 'ACCEPT' &amp; 'DECLINE' buttons
3e. User is instructed to 'CHECK YOUR INBOX' with 'RETURN TO LOGIN' button along with an validation link(VERIFY YOUR EMAIL ADDRESS) sent to the registered email for activating the account
3f. 'EMAIL VERIFIED' - Your account was successfully created. You can now use the app. message to be displayed under 'identity.vwgroup.io' web portal
3g. My Bentley App LogIn should be successfull and screen focus should go to 'BENTLEY-Allow Access' screen asking user to input with 'ALLOW' &amp; 'DENY' buttons
3h. </t>
  </si>
  <si>
    <t>Verify launching of 'NAR-DATA SERVICES' via Bentley Support Web link(support.bentleymotors.com) in My Bentley App</t>
  </si>
  <si>
    <t>• The screen focus is in "Bentley Support Centre" web link page
( My Bentley App --&gt; LOGIN OR REGISTER --&gt; Email --&gt; Enter valid email id --&gt; NEXT --&gt; Enter the Password --&gt; NEXT --&gt; Vehicle "DASHBOARD" screen --&gt;Click on "CAR REMOTE" tab --&gt; Select "DATA SERVICES" section --&gt; Select "VISIT STORE" button --&gt; Bentley Support Centre web link is launched )</t>
  </si>
  <si>
    <t xml:space="preserve">1. In 'Bentley Support Centre web link(support.bentleymotors.com)', Validate 'DATA SERVICES' page
* For 25 MY vehicles (For Bentayga 25MY+, Continental gt 25 MY+ and Flying Spur 25MY+) :
2a. Scroll down to '25 MY' section and Select 'GET DATA FOR 25MY+ (USA)' button 
2b. Enter an vaild Email and click on 'CREATE ACCOUNT' button
2c. Click on 'NEXT' button under 'CREATE ACCOUNT' screen
2d. Enter an valid password and click on 'CREATE' button
2e. Click on 'ACCEPT' button under 'TERMS AND PRIVACY' screen
2f. Open the email and click on the validation link(VERIFY YOUR EMAIL ADDRESS)
2g. Go to My Bentley App Login page and try logging in with valid credentials(i.e. Log In to App by entering username and password)
2h. Click on 'ALLOW' button under 'BENTLEY-Allow Access' screen
2i. Enter the VIN (Ex : SJAAF2ZV8TC029750) and click on 'Verify' button
2j. Check the VIN details and click on 'Correct' button under 'Vehicle Identification Number(VIN)' screen
2k. Enter the personal details(i.e. First Name , Last Name , Email , Mobile Number , Address , City , Postal Code , State Or Province , Country(USA selected by default which is not editable)) of customer and click on 'Continue' button
2l. Launch 'Terms &amp; Conditions' section
2m. Accept the 'Prepaid Terms &amp; Conditions' and click on 'Activate Account' button
2n. Purchase data plan using Cubic's portal(Verizon-portal-bentley.cubictelecom.com)
2o. Try to utilize the data purchased recently via Vehicle Wi-Fi
* For 21MY-24MY (For Bentayga 21MY-24MY) :
3a. Scroll down to '21MY-24MY' section and Select 'BUY DATA FOR 21-24MY (USA)' button 
3b. </t>
  </si>
  <si>
    <t>1. 'DATA SERVICES' page should be launched displaying the below sections
a. 'For 25 MY vehicles (For Bentayga 25MY+, Continental gt 25 MY+ and Flying Spur 25MY+)' section with pre-requisites and steps for activating data plan along with 'BUY DATA' button
b. 'For 21MY-24MY (For Bentayga 21MY-24MY)' section with pre-requisites and steps for activating data plan along with 'BUY DATA FOR 21-24MY (USA)' button
* For 25 MY vehicles (For Bentayga 25MY+, Continental gt 25 MY+ and Flying Spur 25MY+) :
2a. Cubic 3 'identity.vwgroup.io' web portal should be launched with Email entry field along with 'NEXT' and 'CREATE ACCOUNT' buttons
2b. 'CREATE ACCOUNT' screen is launched having email id along with 'NEXT' and 'LOGIN' buttons
2c. User is asked to enter the password along with 'BACK' &amp; 'CREATE' buttons
2d. 'TERMS AND PRIVACY' screen is launched along with 'ACCEPT' &amp; 'DECLINE' buttons
2e. User is instructed to 'CHECK YOUR INBOX' with 'RETURN TO LOGIN' button along with an validation link(VERIFY YOUR EMAIL ADDRESS) sent to the registered email for activating the account
2f. 'EMAIL VERIFIED' - Your account was successfully created. You can now use the app. message to be displayed under 'identity.vwgroup.io' web portal
2g. My Bentley App LogIn should be successfull and screen focus should go to 'BENTLEY-Allow Access' screen asking user to input with 'ALLOW' &amp; 'DENY' buttons
2h. Cubic 3 'portal-bentley.cubictelecom.com' web portal should be launched displaying 'Vehicle Identification Number(VIN)' screen along with VIN entry field in order to use the vehicle's VIN to verify in-car connectivity packages available
2i. Confirmation Message 'Is this the vehicle you would likely to verify?' along with VIN details + 'Back' &amp; 'Correct' buttons displayed under 'Vehicle Identification Number(VIN)' screen
2j. 'Verizon-portal-bentley.cubictelecom.com' web portal launched requesting for personal details(i.e. First Name , Last Name , Email , Mobile Number , Address , City , Postal Code , State Or Province , Country(USA selected by default which is not editable)) of customer along with 'Continue' button
2l. Terms and Conditions document should be retrieved requesting for customer confirmation along 'Activate Account' and 'Back' button
2m. The account should be activated and the VIN should be linked simultaneously to it
2n. Customer should be able to purchase data plan for vehicle on Cubic's portal(Verizon-portal-bentley.cubictelecom.com)
2l. The customer should be able to access the data 
* For 21MY-24MY (For Bentayga 21MY-24MY) :
3a. 'www.verizon.com' web portal should be launched</t>
  </si>
  <si>
    <t>Verify the process for getting 'CHN-DATA SERVICES' via Bentley Support Centre web link(support.bentleymotors.com) in My Bentley App</t>
  </si>
  <si>
    <t>• The screen focus is in "Bentley Support Centre" web link page
( My Bentley App --&gt; SIGN IN --&gt; Vehicle "DASHBOARD" screen --&gt;Click on "CAR REMOTE" tab --&gt; Select "DATA SERVICES" section --&gt; Select "VISIT STORE" button --&gt; Bentley Support Centre web link is launched )</t>
  </si>
  <si>
    <t>1. In 'Bentley Support Centre web link(support.bentleymotors.com)', Scroll down and Select 'MY BENTLEY CHINA' section
2. In 'MY BENTLEY CHINA'screen, Select 'SERVICES' section and scroll to 'DATA SERVICES' section and heck for the step by step guidance to get CHINA Data Service(China Mobile) is displayed</t>
  </si>
  <si>
    <t>Step BY Step guidance on how to get CHINA Data Service(China Mobile) is displayed</t>
  </si>
  <si>
    <t>N/A</t>
  </si>
  <si>
    <t>My Alerts</t>
  </si>
  <si>
    <t>Ensure that below preconditions are met before start the testing for this service
• Vehicle is connected to network 
• Primary registration process is successfully completed. 
• 'Perimeter Alert , Speed &amp; Curfew Alert , Valet Alert' license is valid and in use
• Login to My Bentley App with valid credentials</t>
  </si>
  <si>
    <t xml:space="preserve">Verify the contents of 'MY ALERTS' screen in My Bentley App </t>
  </si>
  <si>
    <t>• The screen focus is in "My Bentley App - MY ALERTS" page
( My Bentley App --&gt; LOGIN OR REGISTER --&gt; Email --&gt; Enter valid email id --&gt; NEXT --&gt; Enter the Password --&gt; NEXT --&gt; Vehicle "DASHBOARD" screen --&gt;Click on "CAR REMOTE" tab --&gt; Select "MY ALERTS" section --&gt; "MY ALERTS" screen is launched )</t>
  </si>
  <si>
    <t xml:space="preserve">In 'MY ALERTS' screen, Validate the different alerts displayed
</t>
  </si>
  <si>
    <t>'MY ALERTS' screen should be launched displaying : 
1. Screen Title displayed as 'MY ALERTS'
2. Different Alerts tab to be displayed :
a.) Speed Alert
b.) Valet Alert
c.) Perimeter Alert
d.) Curfew Alert</t>
  </si>
  <si>
    <t>Verify SPEED ALERT Tab when there is no alert set.</t>
  </si>
  <si>
    <t>• The screen focus is in "My Bentley App - SPEED ALERT" page
( My Bentley App --&gt; LOGIN OR REGISTER --&gt; Email --&gt; Enter valid email id --&gt; NEXT --&gt; Enter the Password --&gt; NEXT --&gt; Vehicle "DASHBOARD" screen --&gt;Click on "CAR REMOTE" tab --&gt; Select "MY ALERTS" section --&gt; "MY ALERTS" screen is launched --&gt; Select "SPEED" tab --&gt; "SPEED ALERT" screen is launched )</t>
  </si>
  <si>
    <t>• No Speed Alerts set</t>
  </si>
  <si>
    <t>Examine the Speed alert screen</t>
  </si>
  <si>
    <t>'No Alert set' should display.</t>
  </si>
  <si>
    <t>Verify 'My Alerts - SPEED ALERT(Add / Modify / Delete)' functionality check in My Bentley App</t>
  </si>
  <si>
    <t>In 'SPEED ALERT' screen, Check whether customer able to : 
1. Add / Create New Speed Alert 
( In 'SPEED ALERT' screen --&gt; Select 'Add' button --&gt; Set Speed Limit(Ex : 50 mph) --&gt; Click 'Save' button --&gt; Select 'SYNC TO CAR' --&gt; Under 'MY ALERTS' section in 'CAR REMOTE' screen, Displays speed alert status as 'Active'(Active : Count of Active Alerts / Total Count of Alerts created) )
2. Edit / Modify saved Speed Alert
3. Delete saved Speed Alert</t>
  </si>
  <si>
    <t>1.  Creating new Speed Alert(Ex : 50 mph) should be successfull
2. Editing / Modifying the existing Speed Alert should be successfull
3. Deleting the existing Speed Alert should be successfull</t>
  </si>
  <si>
    <t>Verify 'My Alerts - SPEED ALERT' functionality check in My Bentley App</t>
  </si>
  <si>
    <t xml:space="preserve">
1. In 'SPEED ALERT' screen, Create a new Speed Alert 
( In 'SPEED ALERT' screen --&gt; Select 'Add' button --&gt; Set Speed Limit(Ex : 55 mph) --&gt; Click 'Save' button --&gt; Select 'SYNC TO CAR' --&gt; Under 'MY ALERTS' section in 'CAR REMOTE' screen, Displays speed alert status as 'Active' (Active : Count of Active Alerts / Total Count of Alerts created) )
SPEED ALERT Validation : 
2. Drive the vehicle speed more than set limit(Ex : 55 mph) and Observe the message displayed 
3. Drive the vehicle speed less than set limit(Ex : 55 mph) and check for message</t>
  </si>
  <si>
    <t xml:space="preserve">1. Creating new Speed Alert(Ex : 55 mph) should be successfull
2. Notification Message 'Maximum speed exceeded for 'XX' vehicle' + Time Stamp of Alert + Alert Name(Speed Alert) should be displayed under 'NOTIFICATIONS' screen when vehicle is driven more than set limit(Ex : 55 mph)
3. No 'Speed Alert -Message' should be displayed when the vehicle is driven less than set limit(Ex : 55 mph) </t>
  </si>
  <si>
    <t>Verify VALET ALERT Tab when there is no alert set.</t>
  </si>
  <si>
    <t>• The screen focus is in "My Bentley App - VALET ALERT" page
( My Bentley App --&gt; LOGIN OR REGISTER --&gt; Email --&gt; Enter valid email id --&gt; NEXT --&gt; Enter the Password --&gt; NEXT --&gt; Vehicle "DASHBOARD" screen --&gt;Click on "CAR REMOTE" tab --&gt; Select "MY ALERTS" section --&gt; "MY ALERTS" screen is launched --&gt; Select "VALET" tab --&gt; " VALET ALERT" screen is launched )</t>
  </si>
  <si>
    <t>• No Valet Alerts set</t>
  </si>
  <si>
    <t>Examine the Valet alert screen</t>
  </si>
  <si>
    <t>Verify 'My Alerts - VALET ALERT(Add / Modify / Delete)' functionality check in My Bentley App</t>
  </si>
  <si>
    <t>• The screen focus is in "My Bentley App - VALET ALERT" page
( My Bentley App --&gt; LOGIN OR REGISTER --&gt; Email --&gt; Enter valid email id --&gt; NEXT --&gt; Enter the Password --&gt; NEXT --&gt; Vehicle "DASHBOARD" screen --&gt;Click on "CAR REMOTE" tab --&gt; Select "MY ALERTS" section --&gt; "MY ALERTS" screen is launched --&gt; Select "VALET" tab --&gt; "VALET ALERT" screen is launched )</t>
  </si>
  <si>
    <t>In 'VALET ALERT' screen, Check whether customer able to : 
1. Add / Create New Valet Alert 
( In 'VALET ALERT' screen --&gt; Select 'Add' button --&gt; Set Perimeter Distance(Ex : 650 ft.) --&gt; Set Speed Limit(Ex : 50 mph) --&gt; Click 'Save' button --&gt; Select 'SYNC TO CAR' --&gt; Under 'MY ALERTS' section in 'CAR REMOTE' screen, Displays valet alert status as 'Active'(Active : Count of Active Alerts / Total Count of Alerts created) )
2. Edit / Modify existing Valet Alert(i.e. Perimeter Distance + Speed Limit)
3. Delete saved Valet Alert</t>
  </si>
  <si>
    <t>1.  Creating new Valet Alert(Ex : Perimeter Distance = 650 ft. + Speed Limit = 50 mph) should be successfull
2. Editing / Modifying the existing Valet Alert should be successfull
3. Deleting the existing Valet Alert should be successfull</t>
  </si>
  <si>
    <t>Verify 'My Alerts - VALET ALERT' functionality check in My Bentley App</t>
  </si>
  <si>
    <t xml:space="preserve">
1. In 'VALET ALERT' screen, Create a new Valet Alert 
( In 'VALET ALERT' screen --&gt; Select 'Add' button --&gt; Set Perimeter Distance(Ex : 40 mi) --&gt; Set Speed Limit(Ex : 50 mph) --&gt; Click 'Save' button --&gt; Select 'SYNC TO CAR' --&gt; Under 'MY ALERTS' section in 'CAR REMOTE' screen, Displays valet alert status as 'Active'(Active : Count of Active Alerts / Total Count of Alerts created) )
* VALET ALERT Validation : 
2. Drive the vehicle speed more than set limit(Ex : 50 mph) and Observe the message displayed
3. Drive the vehicle out of Geofence Area (Ex : 40 mi)  and Observe the message displayed
4. Drive the vehicle speed less than set limit(Ex : 50 mph) and check for message displayed
5. Drive the vehicle inside the Geofence Area (Ex : 40 mi)  and check for the message displayed</t>
  </si>
  <si>
    <t xml:space="preserve">1. Creating new Valet Alert(Ex : Perimeter Distance = 40 mi &amp; Speed Limit = 50 mph) should be successfull
2. Notification Message 'Maximum speed exceeded for 'XX' vehicle' + Time Stamp of Alert + Alert Name(Valet Alert) should be displayed under 'NOTIFICATIONS' screen when vehicle is driven more than set limit(Ex : 50 mph). 
3. Notification Message 'XX' vehicle not in permitted range' + Time Stamp of Alert + Alert Name(Valet Alert) should be displayed under 'NOTIFICATIONS' screen when vehicle is driven out of geofence area(Ex : 40 mi)
4. No 'Valet Alert -Message' should be displayed when the vehicle is driven less than set limit(Ex : 50 mph) 
5. No 'Valet Alert -Message' should be displayed when the vehicle is driven in geofence area(Ex : 40 mi) </t>
  </si>
  <si>
    <t>Verify PERIMETER ALERT Tab when there is no alert set.</t>
  </si>
  <si>
    <t>• The screen focus is in "My Bentley App - PERIMETER ALERT" page
( My Bentley App --&gt; LOGIN OR REGISTER --&gt; Email --&gt; Enter valid email id --&gt; NEXT --&gt; Enter the Password --&gt; NEXT --&gt; Vehicle "DASHBOARD" screen --&gt;Click on "CAR REMOTE" tab --&gt; Select "MY ALERTS" section --&gt; "MY ALERTS" screen is launched --&gt; Select "PERIMETER" tab --&gt; " PERIMETER ALERT" screen is launched )</t>
  </si>
  <si>
    <t>• No Perimeter Alerts set</t>
  </si>
  <si>
    <t>Examine the Perimeter alert screen</t>
  </si>
  <si>
    <t>Verify 'My Alerts - PERIMETER ALERT(Add / Modify / Delete)' functionality check in My Bentley App</t>
  </si>
  <si>
    <t>• The screen focus is in "My Bentley App - PERIMETER ALERT" page
( My Bentley App --&gt; LOGIN OR REGISTER --&gt; Email --&gt; Enter valid email id --&gt; NEXT --&gt; Enter the Password --&gt; NEXT --&gt; Vehicle "DASHBOARD" screen --&gt;Click on "CAR REMOTE" tab --&gt; Select "MY ALERTS" section --&gt; "MY ALERTS" screen is launched --&gt; Select "PERIMETER" tab --&gt; "PERIMETER ALERT" screen is launched )</t>
  </si>
  <si>
    <t>In 'PERIMETER ALERT' screen, Check whether customer able to : 
1. Add / Create New Perimeter Alert 
( In 'PERIMETER ALERT' screen --&gt; Select 'Add' button --&gt; Set Profile Label(Ex : Profile 1) --&gt; Set Perimeter Distance(Ex : 20 mi) --&gt; Click 'Save' button --&gt; Enable the created Profile(Ex : Profile 1) --&gt; Select 'SYNC TO CAR' --&gt; Under 'MY ALERTS' section in 'CAR REMOTE' screen, Displays perimeter alert status as 'Active'(Active : Count of Active Alerts / Total Count of Alerts created) )
2. Edit / Modify existing Perimeter Alert(i.e. Profile Label + Perimeter Distance)
3. Delete saved Perimeter Alert</t>
  </si>
  <si>
    <t>1.  Creating new Perimeter Alert(Ex : Perimeter Distance = 20 mi) should be successfull
2. Editing / Modifying the existing Perimeter Alert should be successfull
3. Deleting the existing perimeter Alert should be successfull</t>
  </si>
  <si>
    <t>Verify that maximum of 10 'PERIMETER ALERT' profiles can be created in My Bentley App</t>
  </si>
  <si>
    <t>In 'PERIMETER ALERT' screen, Check whether customer able to : 
1. Add / Create only 10 Perimeter Alert Profiles
( In 'PERIMETER ALERT' screen --&gt; Select 'Add' button --&gt; Set Profile Label(Ex : Profile 1) --&gt; Set Perimeter Distance(Ex : 20 mi) --&gt; Click 'Save' button --&gt; Enable the created Profile(Ex : Profile 1) --&gt; Select 'SYNC TO CAR' --&gt; Under 'MY ALERTS' section in 'CAR REMOTE' screen, Displays perimeter alert status as 'Active'(Active : Count of Active Alerts / Total Count of Alerts created) )</t>
  </si>
  <si>
    <t>1. Customer should be allowed to create only 10 Perimeter Alert Profiles</t>
  </si>
  <si>
    <t>Verify that maximum of 4 'PERIMETER ALERT' profiles can be activated at a time in My Bentley App</t>
  </si>
  <si>
    <t>In 'PERIMETER ALERT' screen, Check whether customer able to : 
1. Activate more than 4 Perimeter Alert Profiles
( In 'PERIMETER ALERT' screen --&gt; Select 'Add' button --&gt; Set Profile Label(Ex : Profile 1) --&gt; Set Perimeter Distance(Ex : 20 mi) --&gt; Click 'Save' button --&gt; Enable the created Profile(Ex : Profile 1) --&gt; Select 'SYNC TO CAR' --&gt; Under 'MY ALERTS' section in 'CAR REMOTE' screen, Displays perimeter alert status as 'Active'(Active : Count of Active Alerts / Total Count of Alerts created) )</t>
  </si>
  <si>
    <t>1. Customer should not be allowed to activate more than 4 Perimeter Alert Profiles</t>
  </si>
  <si>
    <t>Verify 'My Alerts - PERIMETER ALERT' functionality check in My Bentley App</t>
  </si>
  <si>
    <t>1. In 'PERIMETER ALERT' screen, Create a new Perimeter Alert 
( In 'PERIMETER ALERT' screen --&gt; Select 'Add' button --&gt; Set Profile Label(Ex : Profile 1) --&gt; Set Perimeter Distance(Ex : 60 mi) --&gt; Click 'Save' button --&gt; Enable the created Profile(Ex : Profile 1) --&gt; Select 'SYNC TO CAR' --&gt; Under 'MY ALERTS' section in 'CAR REMOTE' screen, Displays perimeter alert status as 'Active'(Active : Count of Active Alerts / Total Count of Alerts created) )
PERIMETER ALERT Validation : 
2. Drive the vehicle out of Geofence Area (Ex : 60 mi) and Observe the message displayed
3. Drive the vehicle inside the Geofence Area (Ex : 60 mi) and Check for the message displayed</t>
  </si>
  <si>
    <t xml:space="preserve">1.  Creating new Perimeter Alert(Ex : Perimeter Distance = 60 mi) should be successfull
2. Notification Message 'XX' vehicle not in permitted range' + Time Stamp of Alert + Profile Name(Ex : Profile 1) should be displayed under 'NOTIFICATIONS' screen when vehicle is driven out of geofence area(Ex : 60 mi)
3. No 'Perimeter Alert -Message' should be displayed when the vehicle is driven in geofence area(Ex : 60 mi) </t>
  </si>
  <si>
    <t>Verify CURFEW ALERT Tab when there is no alert set.</t>
  </si>
  <si>
    <t>• The screen focus is in "My Bentley App - CURFEW ALERT" page
( My Bentley App --&gt; LOGIN OR REGISTER --&gt; Email --&gt; Enter valid email id --&gt; NEXT --&gt; Enter the Password --&gt; NEXT --&gt; Vehicle "DASHBOARD" screen --&gt;Click on "CAR REMOTE" tab --&gt; Select "MY ALERTS" section --&gt; "MY ALERTS" screen is launched --&gt; Select "CURFEW" tab --&gt; "CURFEW ALERT" screen is launched )</t>
  </si>
  <si>
    <t>• No Curfew Alerts set</t>
  </si>
  <si>
    <t>Examine the Curfew alert screen</t>
  </si>
  <si>
    <t>Verify enabling of 'My Alerts - CURFEW ALERT' in My Bentley App</t>
  </si>
  <si>
    <t>• No Curfew Alert is set</t>
  </si>
  <si>
    <t>In 'CURFEW ALERT' screen, Check whether customer able to enable the Curfew Alert
( In 'CURFEW ALERT' screen --&gt; Select the Curfew Alert Entry(i.e. 0 mph) displayed under 'CURFEW ALERT' Screen --&gt; Enable it --&gt; Select 'SYNC TO CAR' --&gt; Under 'MY ALERTS' section in 'CAR REMOTE' screen, Displays curfew alert status as 'Active' )</t>
  </si>
  <si>
    <t>Customer should be able to enable the Curfew Alert successfully without any issues</t>
  </si>
  <si>
    <t>Verify disabling of 'My Alerts - CURFEW ALERT' in My Bentley App</t>
  </si>
  <si>
    <t>• CURFEW Alert is set</t>
  </si>
  <si>
    <t>In 'CURFEW ALERT' screen, Check whether customer able to disable the Curfew Alert
( In 'CURFEW ALERT' screen --&gt; Select the Curfew Alert Entry(i.e. 0 mph) displayed under 'CURFEW ALERT' Screen --&gt; Disable it --&gt; Select 'SYNC TO CAR' --&gt; Under 'MY ALERTS' section in 'CAR REMOTE' screen, Displays curfew alert status as 'Inactive' )</t>
  </si>
  <si>
    <t>Customer should be able to disable the Curfew Alert successfully without any issues</t>
  </si>
  <si>
    <t>Verify 'My Alerts - CURFEW ALERT' functionality check via My Bentley App</t>
  </si>
  <si>
    <t>1. In 'CURFEW ALERT' screen, Check whether customer able to enable the Curfew Alert
( In 'CURFEW ALERT' screen --&gt; Select the Curfew Alert Entry(i.e. 0 mph) displayed under 'CURFEW ALERT' Screen --&gt; Enable it --&gt; Select 'SYNC TO CAR' --&gt; Under 'MY ALERTS' section in 'CAR REMOTE' screen, Displays curfew alert status as 'Active' )
CURFEW ALERT Validation : 
2. Drive the vehicle more than '0 mph'(i.e. Vehicle moved from Stationary) and Observe the message displayed</t>
  </si>
  <si>
    <t>1. In 'CURFEW ALERT' screen, Check whether customer able to enable the Curfew Alert
2. Notification Message 'XX' vehicle has preached the pre-set curfew' + Time Stamp of Alert + Alert Name(Curfew Alert) should be displayed under 'NOTIFICATIONS' screen when vehicle is driven more than 0 mph</t>
  </si>
  <si>
    <t>Theft Alarm</t>
  </si>
  <si>
    <t>Ensure that below preconditions are met before start the testing for this service
• Theft Alert service is having a valid license and in use
• Primary user successfully  registered with vehicle
• My Bentley mobile app should have valid credentials.
1. Primary user successfully  registered with vehicle
2. My Bentley mobile app -- &gt; Service Management -- &gt; 'Theft alert' should be enabled</t>
  </si>
  <si>
    <t>Validating 'THEFT ALARM' section under CAR REMOTE screen</t>
  </si>
  <si>
    <t>• The screen focus is in "My Bentley App - CAR REMOTE" page
( My Bentley App --&gt; LOGIN OR REGISTER --&gt; Email --&gt; Enter valid email id --&gt; NEXT --&gt; Enter the Password --&gt; NEXT --&gt; Vehicle "DASHBOARD" Screen --&gt; CAR REMOTE )</t>
  </si>
  <si>
    <t>• The Bentley test vehicle is a German Spec one - [For Vehicle with No 'Stolen Vehicle Tracking']</t>
  </si>
  <si>
    <t>Observe 'THEFT ALARM' section</t>
  </si>
  <si>
    <t>Under CAR REMOTE screen of 'THEFT ALARM' section :
1. Title : THEFT ALARM
2. Image : Respective Vehicle Image to be displayed
3. Theft AlarmStatus : “No messages” / 'Interior alarm' / 'Break-in alarm' / 'Trailer alarm' / 'Motion alarm' ….etc. to be displayed</t>
  </si>
  <si>
    <t>Launching 'THEFT ALARM' service from CAR REMOTE screen when no theft alerts present</t>
  </si>
  <si>
    <t>• No Theft Alarms present
• The Bentley test vehicle is a German Spec one - [For Vehicle with No 'Stolen Vehicle Tracking']</t>
  </si>
  <si>
    <t xml:space="preserve">* For Vehicle with No 'Stolen Vehicle Tracking' : 
1. Go to CAR REMOTE screen and launch 'Theft Alarm' service
</t>
  </si>
  <si>
    <t xml:space="preserve">* For Vehicle with No 'Stolen Vehicle Tracking' : 
1. 'MY ALERTS' screen should be launched displaying some kind of message stating 'NO MESSAGES - There are no alerts to display' is displayed 
</t>
  </si>
  <si>
    <t>Launching 'STOLEN VEHICLE TRACKING' service from CAR REMOTE screen when no theft alerts present</t>
  </si>
  <si>
    <t>• No Theft Alarms present
• The Bentley test vehicle is a UK Spec one - [For Vehicle with 'Stolen Vehicle Tracking']</t>
  </si>
  <si>
    <t>* For Vehicle with 'Stolen Vehicle Tracking' : 
1. Go to CAR REMOTE screen , Launch 'STOLEN VEHICLE TRACKING' and check the Theft Alarm status under 'STOLEN VEHICLE TRACKING - My Alerts' page</t>
  </si>
  <si>
    <t xml:space="preserve">* For Vehicle with 'Stolen Vehicle Tracking' : 
1. 'STOLEN VEHICLE TRACKING - My Alerts' screen should be launched displaying some kind of message stating 'NO MESSAGES - There are no alerts to display' is displayed 
</t>
  </si>
  <si>
    <t>Triggering an Theft Alarm in Vehicle</t>
  </si>
  <si>
    <t>• The Bentley test vehicle is a German Spec one - [For Vehicle with No 'Stolen Vehicle Tracking']
• The Bentley test vehicle is a UK Spec one - [For Vehicle with 'Stolen Vehicle Tracking']
Stay inside vehicle --&gt; Lock Vehicle --&gt; Try to open door / Try to access gear …etc to trigger an alarm</t>
  </si>
  <si>
    <t xml:space="preserve">* For Vehicle with No 'Stolen Vehicle Tracking' : 
An Theft Alarm should be triggered as (Ex : Interior alarm, Break-in alarm, Trailer alarm, Motion alarm etc.) and the same is updated under 'THEFT ALARM' section in CAR REMOTE screen as well as in 'MY ALERTS' screen
* For Vehicle with 'Stolen Vehicle Tracking' : 
An Theft Alarm should be triggered as (Ex : Interior, Break-in, Trailer, Motion etc.) and the same is updated under 'STOLEN VEHICLE TRACKING - My Alerts' screen
</t>
  </si>
  <si>
    <t>Verification of Push Notification for Theft Alarm</t>
  </si>
  <si>
    <t>• Mobile should be locked state or My Bentley app should be closed state.</t>
  </si>
  <si>
    <t>Stay inside vehicle --&gt; Lock Vehicle --&gt; Try to open door / Try to access gear …etc to trigger an alarm</t>
  </si>
  <si>
    <t>A push notification message should be received in mobile when a theft alarm is triggered in vehicle</t>
  </si>
  <si>
    <t>Launching 'MY ALERTS' screen when Theft Alarm is present - [For Vehicle with No 'Stolen Vehicle Tracking']</t>
  </si>
  <si>
    <t>• The screen focus is in "My Bentley App - MY ALERTS" page
( My Bentley App --&gt; LOGIN OR REGISTER --&gt; Email --&gt; Enter valid email id --&gt; NEXT --&gt; Enter the Password --&gt; NEXT --&gt; Vehicle "DASHBOARD" Screen --&gt; CAR REMOTE --&gt; THEFT ALARM )</t>
  </si>
  <si>
    <t>• The Bentley test vehicle is a German Spec one</t>
  </si>
  <si>
    <t>Observe the theft alarm details under 'MY ALERTS' screen</t>
  </si>
  <si>
    <t>Under 'MY ALERTS' screen :
1. All previous theft alarm logs should be display and the latest on the top with details in RED colour.
2. Each Alarm in the list should be displayed with information of 'Type of alarm'. Occurrence Date and time,
3. CLEAR ALARM HISTORY / RESET ALERT button should be displayed</t>
  </si>
  <si>
    <t>Launching 'STOLEN VEHICLE TRACKING - My Alerts' screen when Theft Alarm is present - [For Vehicle with 'Stolen Vehicle Tracking']</t>
  </si>
  <si>
    <t>• The screen focus is in "My Bentley App - STOLEN VEHICLE TRACKING - My Alerts" page
( My Bentley App --&gt; LOGIN OR REGISTER --&gt; Email --&gt; Enter valid email id --&gt; NEXT --&gt; Enter the Password --&gt; NEXT --&gt; Vehicle "DASHBOARD" Screen --&gt; CAR REMOTE --&gt; STOLEN VEHICLE TRACKING )</t>
  </si>
  <si>
    <t>• The Bentley test vehicle is a UK Spec one</t>
  </si>
  <si>
    <t>Observe the theft alarm details under 'STOLEN VEHICLE TRACKING - My Alerts' screen</t>
  </si>
  <si>
    <t>Under 'STOLEN VEHICLE TRACKING - My Alerts' screen :
1. All previous theft alarm logs should be display and the latest on the top with details in RED colour.
2. Each Alarm in the list should be displayed with information of 'Type of alarm'. Occurrence Date and time,
3. CLEAR ALARM HISTORY / RESET ALERT button should be displayed</t>
  </si>
  <si>
    <t>Clearing Theft Alarm</t>
  </si>
  <si>
    <t>• Theft Alarms present</t>
  </si>
  <si>
    <t>* For Vehicle with No 'Stolen Vehicle Tracking' : 
1. Go to CAR REMOTE screen and launch 'Theft Alarm' service
2. Click on 'CLEAR ALARM HISTORY / RESET ALERT' button followed with selecting 'Clear' button on the confirmation message
* For Vehicle with 'Stolen Vehicle Tracking' : 
1. Go to CAR REMOTE screen , Launch 'STOLEN VEHICLE TRACKING' and check the Theft Alarm status under 'STOLEN VEHICLE TRACKING - My Alerts' page
2. Click on 'CLEAR ALARM HISTORY / RESET ALERT' button followed with selecting 'Clear' button on the confirmation message</t>
  </si>
  <si>
    <t xml:space="preserve">* For Vehicle with No 'Stolen Vehicle Tracking' : 
1. 'MY ALERTS' screen should be launched displaying the list of theft alarms
2. All 'Theft Alarm' notifications should be cleared successfully under 'MY ALERTS' screen and finally some kind of message stating 'NO MESSAGES - There are no alerts to display' is displayed 
* For Vehicle with 'Stolen Vehicle Tracking' : 
1. 'STOLEN VEHICLE TRACKING - My Alerts' screen should be launched displaying the list of theft alarms
2. All 'Theft Alarm' notifications should be cleared successfully under 'STOLEN VEHICLE TRACKING - My Alerts' screen and finally some kind of message stating 'NO MESSAGES - There are no alerts to display' is displayed 
</t>
  </si>
  <si>
    <t>Deactivating 'Theft alert' under 'SERVICE MANAGEMENT' screen</t>
  </si>
  <si>
    <t>1. In 'SERVICE MANAGEMENT' screen, Select 'Theft Alert' = Deactivate
* For Vehicle with No 'Stolen Vehicle Tracking' : 
2. Go to CAR REMOTE screen and check the 'Theft Alarm' service
* For Vehicle with 'Stolen Vehicle Tracking' : 
3. Go to CAR REMOTE screen , Launch 'STOLEN VEHICLE TRACKING' and check the Theft Alarm status under 'STOLEN VEHICLE TRACKING - My Alerts' page</t>
  </si>
  <si>
    <t>1. User should be able to deactivate 'Theft Alert' service without any issues under 'SERVICE MANAGEMENT' screen
* For Vehicle with No 'Stolen Vehicle Tracking' : 
In My Bentley App, Under 'CAR REMOTE' screen
2 Theft Alert = Deactivate --&gt; 'Theft Alarm' service should not be accessible under CAR REMOTE screen(i.e. Under CAR REMOTE screen , 'Theft Alarm' section should be greyed out and should display 'Function disabled' text)
* For Vehicle with 'Stolen Vehicle Tracking' :
In My Bentley App, Under 'STOLEN VEHICLE TRACKING - My Alerts' screen
3. Theft Alert = Deactivate --&gt; 'STOLEN VEHICLE TRACKING - My Alerts' Service should not be accessible displaying  some kind of message stating 'This service is unavailable. It can be switched on in the Service Management screen for this vehicle'</t>
  </si>
  <si>
    <t>Verify all the screens with Bentley style guide</t>
  </si>
  <si>
    <t>Stolen Vehicle Locator</t>
  </si>
  <si>
    <t>Ensure that below preconditions are met before start the testing for this service
• Vehicle is connected to network 
• Primary registration process is successfully completed. 
• Login to My Bentley App with valid credentials
• 'Stolen Vehicle Locator' license is valid and in use</t>
  </si>
  <si>
    <t>NAR , CHN</t>
  </si>
  <si>
    <t>Verify accessing 'Stolen Vehicle Locator' from CAR REMOTE screen</t>
  </si>
  <si>
    <t>1. In 'CAR REMOTE' screen , Tap on 'STOLEN VEHICLE FINDER' section and Observe</t>
  </si>
  <si>
    <t>'STOLEN VEHICLE FINDER' screen should be launched displaying : 
1. Title : PROTECT YOUR BENTLEY
2. Button : CALL NOW
3. Clicking on 'CALL NOW' button should display SVL Contact Information(i.e. CHN : 400 0176 819 &amp; NAR : +1 669 210 8203)</t>
  </si>
  <si>
    <t>Verify SVL Call initiation</t>
  </si>
  <si>
    <t>1. Need to book an appointment before performing this
2. Need to inform the agent that this call is a Bentley Test Call
3. Need to restrict to one Call and cover all scenarios</t>
  </si>
  <si>
    <t>1. Establish an SVL Call and check the following
( 'CAR REMOTE' screen --&gt; Select 'STOLEN VEHICLE FINDER' section --&gt; 'PROTECT YOUR BENTLEY' screen --&gt; Select 'CALL NOW' button --&gt; Select 'SVL Contact Number (i.e. CHN : 400 0176 819 &amp; NAR : +1 669 210 8203)' --&gt; Check for SVL call establishment )
After SVL established, Check 
2. Two way communication establishment between Agent and Customer while SVL Call is active
3. Check whether Operator able to see the last known position of the vehicle and the response matches to vehicle positon displayed on HMI
4. Check whether Operator able to periodically track the vehicle(i.e. Every 1 min)
5. Activate / Deactivate Privacy Mode(HMI Home Screen --&gt; Settings --&gt; Privacy --&gt; Activate Privacy Mode = Enable / Disable)  : Check whether Operator still able to see the location of vehicle
6. Lock Vehicle --&gt; Wait 2 Mins --&gt; Ask operator to trigger SVL --&gt;  Check whether Operator able to track successfully and receive valid vehicle position
7. End SVL Call and Check whether Operator able to stop the tracking successfully</t>
  </si>
  <si>
    <t xml:space="preserve">1. SVL call should be established successfully
2. Two way communication establishment between Agent and Customer should be successfull without any issues while SVL Call is active
3. Operator should be able to see the last known position of the vehicle and the response should be matched to vehicle positon displayed on HMI
4. Operator should be able to periodically track the vehicle(i.e. Every 1 min)
5. Activate / Deactivate Privacy Mode : Operator should still be able to see the location of vehicle
6. Operator should be able to track successfully and receive valid vehicle position after locking the vehicle
7. Ending SVL Call --&gt; The operator should able to stop the tracking successfully and  should give information that currently no job is running </t>
  </si>
  <si>
    <t>Audials</t>
  </si>
  <si>
    <t>EUR , NAR</t>
  </si>
  <si>
    <t>Verify launching of 'Audials-Radio' service in My Bentley App</t>
  </si>
  <si>
    <t>1. In 'CAR REMOTE' screen , Tap on 'Audials-Radio' section and Observe
( CAR REMOTE --&gt; Select 'Audials-Radio' section --&gt; Click 'OK' on Msg. [ Audials is trying to open an app outside of My Bentley. Are you sure tyou want to open it? ] --&gt; Check whether focus goes to 'Audials.com' website</t>
  </si>
  <si>
    <t>'audials.com' website should be launched</t>
  </si>
  <si>
    <t>Car Finder</t>
  </si>
  <si>
    <t>Ensure that below preconditions are met before start the testing for this service
• Car Finder service is having a valid license and in use
• HMI Privacy mode -- &gt; Make sure that 'Share Vehicle Position' should be enabled
• Primary user successfully  registered with vehicle
• My Bentley mobile app should have valid credentials.
• My Bentley mobile app -- &gt; Service Management -- &gt; 'Find my car' service should be enabled
 The vehicle is in stationary &amp; connected to the network.</t>
  </si>
  <si>
    <t>Verify locating 'Navigation' tab in 'My Bentley App - DASHBOARD' screen</t>
  </si>
  <si>
    <t>Scroll down to the bottom and locate the navigation icon at the footer of 'My Bentley App - DASHBOARD' page</t>
  </si>
  <si>
    <t>The user should be able to locate the navigation icon under 'My Bentley App - DASHBOARD' page easily</t>
  </si>
  <si>
    <t>Verify the vehicle location on the map.</t>
  </si>
  <si>
    <t>• The screen focus is in "My Bentley App - NAVIGATION" page
( My Bentley App --&gt; LOGIN OR REGISTER --&gt; Email --&gt; Enter valid email id --&gt; NEXT --&gt; Enter the Password --&gt; NEXT --&gt; Vehicle "DASHBOARD" Screen --&gt; Click on Navigation symbol(NAVIGATION) --&gt; Click on ALLOW )</t>
  </si>
  <si>
    <t xml:space="preserve"> Click on the 'Car' icon.</t>
  </si>
  <si>
    <t>The vehicle location should be located and finally  displayed on the map.</t>
  </si>
  <si>
    <t xml:space="preserve">Verify the display visibility on the map.
</t>
  </si>
  <si>
    <t>1. Click on the 'Car' icon
2. Click on the 'User' icon</t>
  </si>
  <si>
    <t>1. The vehicle pointer icon should display on the centre of map screen and clearly visible to the user.
2. The user position should display on the centre of map screen and clearly visible to the user.</t>
  </si>
  <si>
    <t>Verification of vehicle information.</t>
  </si>
  <si>
    <t>Click on the vehicle pointer icon on the map.</t>
  </si>
  <si>
    <t>Click on vehicle pointer icon in map view should  display : 
1. Address Information(i.e. Vehicle parked location information) related to the vehicle
2. Fuel &amp; PHEV Charge Information
3. Distance from user position to car parked location
4. Parked Duration Information
5. PLAN ROUTE button</t>
  </si>
  <si>
    <t>Planning route between car &amp; user.</t>
  </si>
  <si>
    <t>Click on the PLAN ROUTE button</t>
  </si>
  <si>
    <t>Plan Route  from User current location to Car Parked location should be successful .</t>
  </si>
  <si>
    <t>Nav Companion</t>
  </si>
  <si>
    <t>Ensure that below preconditions are met before start the testing for this service
• Vehicle is connected to network 
• Primary registration process is successfully completed. 
• 'My Bentley Remote Services - Car Finder' license is valid and in use
• Vehicle added to My Bentley Account
• Login to My Bentley App with valid credentials</t>
  </si>
  <si>
    <t>Verify accessing of 'Navigation' tab in 'My Bentley App - DASHBOARD' screen</t>
  </si>
  <si>
    <t>1. In 'My Bentley App - DASHBOARD' screen, Click on 'Navigation' tab(i.e. Navigation Icon tab present in Footer Screen)</t>
  </si>
  <si>
    <t>'NAVIGATION' screen should be launched displaying
1. Screen Title : NAVIGATION
2. Search Window
3. 'Car' icon : Clicking on it shows the current location of vehicle
4. 'User' icon : Clicking on it shows the current location of user
5. Option to enable 'Satellite' view and 'Real Time Traffic Data'</t>
  </si>
  <si>
    <t>• The screen focus is in "My Bentley App - NAVIGATION" page
( My Bentley App --&gt; LOGIN OR REGISTER --&gt; Email --&gt; Enter valid email id --&gt; NEXT --&gt; Enter the Password --&gt; NEXT --&gt; Vehicle "DASHBOARD" Screen --&gt; Click on "Navigation" icon(NAVIGATION) --&gt; Click on ALLOW )</t>
  </si>
  <si>
    <t>Verify removing location information from 'FAVORITES' section under NAVIGATION screen of My Bentley App</t>
  </si>
  <si>
    <t>1. In 'NAVIGATION' screen, Click on Search Window and search for any location(Ex : London , Leamington Spa)
2. Select the Searched Location Entry(Ex : London , Manchester etc.) from the list of result 
3. Click on Star Icon present next to location info, Notification stating the location saved as favorite should be displayed
4. Click on 'SEND TO CAR' , Message 'XXX Location Information sent successfully to XXX Vehicle' to be displayed as well the recently sent location should be added under 'SENT DESTINATIONS' and 'FAVORITES' section
5. Delete the recently saved location info as a favourite under 'FAVORITES' and  'SENT DESTINATIONS' section in NAVIGATION screen of My Bentley App
6. Check whether the recently deleted location via My Bentley App is deleted from vehicle</t>
  </si>
  <si>
    <t xml:space="preserve">* In Vehicle : 
Recently deleted favourite location details should not be displayed under
[HMI --&gt; Navigation --&gt; Favourites(Navigation-Favourites Screen)]
[HMI --&gt; Navigation --&gt; My Destinations(Navigation-Received destinations and tours Screen)]
</t>
  </si>
  <si>
    <t>Verify removing location information from vehicle ['Navigation - Received destinations and tours' screen]</t>
  </si>
  <si>
    <t>• Recently added location details found under 'Navigation - Received destinations and tours' screen</t>
  </si>
  <si>
    <t xml:space="preserve">1. In Vehicle, Launch Navigation and go to 'Navigation-Recent destination and tours' screen
2. Select any of location info from the list and delete it from vehicle side
3. After a while, Go to My Bentley App --&gt; Navigation and check whether the recently deleted location details not listed under 'SENT DESTINATIONS' section of NAVIGATION screen in  My Bentley App </t>
  </si>
  <si>
    <t xml:space="preserve">1. In Vehicle :
HMI --&gt; Navigation --&gt; My Destinations(Navigation-Received destinations and tours Screen) --&gt; Lists down the location details
2. Selected location info is deleted from vehicle side without any issues
3. Recently deleted location Info in vehicle should not be listed   under 'SENT DESTINATIONS' section of NAVIGATION screen in  My Bentley App </t>
  </si>
  <si>
    <t>Verify removing location information from vehicle ['Navigation - Favourites' screen]</t>
  </si>
  <si>
    <t>• Recently added location details found under 'Navigation - Favourites' screen</t>
  </si>
  <si>
    <t xml:space="preserve">1. In Vehicle, Launch Navigation and go to 'Navigation-Favourites' screen
2. Select any of the favourite location info from the list and delete it from vehicle side
3. After a while, Go to My Bentley App --&gt; Navigation and check whether the recently deleted favourite location details not listed under 'FAVORITES' section of NAVIGATION screen in  My Bentley App </t>
  </si>
  <si>
    <t xml:space="preserve">1. In Vehicle :
HMI --&gt; Navigation --&gt; Favourites(Navigation-Favourites Screen) --&gt; Lists down all the favourite location details
2. Selected favourite location info is deleted from vehicle side without any issues
3. Recently deleted favourite location Info in vehicle should not be listed  under 'FAVORITES' section of NAVIGATION screen in  My Bentley App </t>
  </si>
  <si>
    <t>Verify accessing of 'SENT DESTINATIONS' section under 'NAVIGATION' Screen</t>
  </si>
  <si>
    <t>• Recently added location details found under 'SENT DESTINATIONS' section</t>
  </si>
  <si>
    <t>1. In 'NAVIGATION' screen, Click on Search Window and Select the  SENT DESTINATIONS section &amp; Observe
2. Check whether the location detail count displayed in vehicle matches w.r.t 'SENT DESTINATIONS' section of NAVIGATION screen - My Bentley App
3. Remove any of the Location Information via My Bentley App(i.e. Navigation Screen --&gt; SENT DESTINATIONS --&gt; Select any location information --&gt; Delete) and Check whether the recently deleted location info is still seen in vehicle</t>
  </si>
  <si>
    <t>1. List of recently sent location details to vehicle should be displayed under SENT DESTINATIONS section
2. Location count in vehicle[i.e. HMI --&gt; Navigation --&gt; My Destinations(Navigation-Received destinations and tours Screen)] should match with the location count found in My Bentley App(i.e.Dashboard --&gt; Navigation --&gt; SENT DESTINATIONS)  
3. In Vehicle : (If Location Info is removed from destination)
HMI --&gt; Navigation --&gt; My Destinations(Navigation-Received destinations and tours Screen) --&gt; Recently deleted location info via My Bentley App should not be displayed in vehicle</t>
  </si>
  <si>
    <t>Verify accessing of 'DEALERS' section under 'NAVIGATION' Screen</t>
  </si>
  <si>
    <t>1. In 'NAVIGATION' screen, Click on Search Window and Select the  DEALERS section
2. Send the Bentley Dealer Location to vehicle via My Bentley App(i.e. Navigation Screen --&gt; Dealers --&gt; Select a Bentley Dealer --&gt; 'SEND TO CAR') and Check whether the recently sent Bentley Dealer location can be accessed in vehicle
3. Remove the Dealer Location from vehicle via My Bentley App(i.e. Navigation Screen --&gt; SENT DESTINATIONS --&gt; Select the recently sent Bentley Dealer --&gt; Delete) and Check whether the recently deleted Bentley Dealer location is still seen in vehicle</t>
  </si>
  <si>
    <t>1. List of Bentley Dealers Location details respective to corresponding location should be displayed
2. In Vehicle : (If Dealer Info is added to destination)
HMI --&gt; Navigation --&gt; My Destinations(Navigation-Received destinations and tours Screen) --&gt; Bentley Dealer Location sent via My Bentley App should be displayed and user should be able to set the route to that location
3. In Vehicle : (If Dealer Info is removed from destination)
HMI --&gt; Navigation --&gt; My Destinations(Navigation-Received destinations and tours Screen) --&gt; Bentley Dealer  Location sent via My Bentley App previously should not be displayed once it is removed from My Bentley App side</t>
  </si>
  <si>
    <t>Verify saving the location information as an favorite and later sending it to vehicle</t>
  </si>
  <si>
    <t>1. In 'NAVIGATION' screen, Click on Search Window and search for any location(Ex : London , Leamington Spa)
2. Select the Searched Location Entry(Ex : London , Manchester etc.) from the list of result 
3. Click on Star Icon present next to location info, Notification stating the location saved as favorite should be displayed
4. Click on 'SEND TO CAR' , Message 'XXX Location Information sent successfully to XXX Vehicle' to be displayed as well the recently sent location should be added under 'SENT DESTINATIONS' and 'FAVORITES' section
5. Check whether the recently sent location to vehicle via My Bentley App can be accessed in vehicle</t>
  </si>
  <si>
    <t xml:space="preserve">In Vehicle : Recently saved location details as favorite can be accessed in HMI via
HMI --&gt; Navigation --&gt; Favourites(Navigation-Favourites Screen) --&gt; Location sent via My Bentley App should be displayed and user should be able to set the route to that location
In Vehicle : Recently sent location details to vehicle can be accessed in HMI via
HMI --&gt; Navigation --&gt; My Destinations(Navigation-Received destinations and tours Screen) --&gt; Location sent via My Bentley App should be displayed and user should be able to set the route to that location
</t>
  </si>
  <si>
    <t>Verify saving the location information as an favorite when route guidance is active</t>
  </si>
  <si>
    <t>• Start the Route Guidance in HMI(i.e. Route Guidance is active)
1.When Route Guidance is active, Try to save the destination 'Manchester' location info as an favourite via HMI Navigation[i.e. HMI --&gt; Navigation --&gt; Recent destinations(Navigation-Recent destinations Screen)]  
2. Check whether the location info is found under 'Navigation - Favourites' folder as well as under 'Navigation - Recent Destinations' folder in MIB Unit</t>
  </si>
  <si>
    <t>After a while check whether the recently saved location details as favourite via MIB unit is updated under 'FAVORITES' &amp; 'LAST DESTINATIONS' sections of NAVIGATION screen in My Bentley App</t>
  </si>
  <si>
    <t>1. Location should be easily saved as favourite without any issues
2. In Vehicle : Recently saved location details as favorite should be available under
[HMI --&gt; Navigation --&gt; Favourites(Navigation-Favourites Screen)] 
[HMI --&gt; Navigation --&gt; Recent Destinations(Navigation-Receent destinations Screen)]
3. In My Bentley App : Recently saved location details as favorite in MIB Unit should be available under
(My Bentley App --&gt; DASHBOARD --&gt; Navigation --&gt; FAVORITES ) 
(My Bentley App --&gt; DASHBOARD --&gt; Navigation --&gt; LAST DESTINATIONS)</t>
  </si>
  <si>
    <t>Verify accessing of 'CALENDAR' section under 'NAVIGATION' Screen</t>
  </si>
  <si>
    <t>• Test Mobile should be synced and paired with Head Unit</t>
  </si>
  <si>
    <t>1.  In 'NAVIGATION' screen, Click on Search Window and select the CALENDAR section
2. Check for Calendar Events synced via test mobile is displayed under CALENDAR section</t>
  </si>
  <si>
    <t>Calendar Events Synced with test mobile should be displayed in 'CALENDAR' section under NAVIGATION screen</t>
  </si>
  <si>
    <t>Verify accessing of 'CONTACTS' section under 'NAVIGATION' Screen</t>
  </si>
  <si>
    <t>1.  In 'NAVIGATION' screen, Click on Search Window and select the CONTACTS section
2. Check for Phone Contact numbers synced via test mobile is displayed  under CONTACTS section</t>
  </si>
  <si>
    <t>Phone Contacts Synced with test mobile should be displayed in 'CONTACTS' section under NAVIGATION screen</t>
  </si>
  <si>
    <t>Notifications</t>
  </si>
  <si>
    <t>Ensure that below preconditions are met before start the testing for this service
• Vehicle is connected to network 
• Primary registration process is successfully completed. 
• Login to My Bentley App with valid credentials
• “My Bentley in Car Services' and 'My Bentley Remote Services' license is valid and in use</t>
  </si>
  <si>
    <t>EUR , NAR , CHN</t>
  </si>
  <si>
    <t>Verify accessing  'Notifications' tab in CAR REMOTE screen of My Bentley App</t>
  </si>
  <si>
    <t>• The screen focus is in "My Bentley App - NOTIFICATIONS" page
( My Bentley App --&gt; LOGIN OR REGISTER --&gt; Email --&gt; Enter valid email id --&gt; NEXT --&gt; Enter the Password --&gt; NEXT --&gt; Vehicle "DASHBOARD" Screen --&gt; Click on "Bell" icon (NOTIFICATIONS) )</t>
  </si>
  <si>
    <t>Verify the contents of 'NOTIFICATIONS' page</t>
  </si>
  <si>
    <t>In 'NOTIFICATIONS' page, The following contents are displayed :
- Title : NOTIFICATIONS
- Tabs :  'Actions' &amp; 'Alerts'
- Last updated: Time Stamp (Ex : Fri, 24 Jan at 09.43 am)</t>
  </si>
  <si>
    <t>Verify the status of Notification Screen on refreshing the data manually (By Pulling Down the Notification screen)</t>
  </si>
  <si>
    <t>Swipe down the Notification screen --&gt; Tap on “Update Vehicle Data” link from the notification pop up.</t>
  </si>
  <si>
    <t>After a successful refresh cycle, 'Last updated: time stamp(e.g. Fri, 24 Jan at 09.43 am)' should be refreshed accordingly and visible. Latest actions/alerts should be included in the top of the list (If any) and sorted by time stamp from newest to oldest.</t>
  </si>
  <si>
    <t>Verify accessing  'Alert' tab in  'Notifications'  screen</t>
  </si>
  <si>
    <t>1. Tap on 'Alerts' tab in 'My Bentley App - NOTIFICATIONS' page</t>
  </si>
  <si>
    <t>When there are no alerts at all  --&gt;  'There are no new notifications to display' message should be displayed along with crossed out bell icon 
OTHERWISE
Maximum 10 alerts should be displayed which are sorted by time stamp from newest to oldest.</t>
  </si>
  <si>
    <t>Verify 'Alerts' are listed in the notification Alert list</t>
  </si>
  <si>
    <t>1. Perform multiple 'Alert'( Ex : Speed Alert, Curfew Alert , Valet Alert  and Perimeter Alert ) functionality in different scenario</t>
  </si>
  <si>
    <t>1. Refresh the 'NOTIFICATIONS - Alertss' page and Check whether all alerts related to 'Speed , Curfew , Valet &amp; Perimeter - Alerts' listed under 'My Bentley App - NAVIGATIONS - Alerts' screen</t>
  </si>
  <si>
    <t xml:space="preserve">1. Multiple Alert( Ex : Speed Alert, Curfew Alert , Valet Alert  and Perimeter Alert ) functionality scenarios are performed successfully without any issues
2. All Alerts related to 'Speed , Curfew , Valet &amp; Perimeter - Alerts' should be listed in under 'My Bentley App - NAVIGATIONS - Alerts' screen and sorted by time stamp from newest to oldest.
[Ex :1. On event occurs -&gt; Status : xxxxxxxx,  Time Stamp : 'DD Month hh.ss am/pm', Summary: 'xxxxxx']
</t>
  </si>
  <si>
    <t>Push Notifications</t>
  </si>
  <si>
    <t xml:space="preserve">Verify 'Theft Alert' Push Notifications </t>
  </si>
  <si>
    <t xml:space="preserve">1. Exit from the  My Bentley App --&gt; Stay inside vehicle --&gt; Lock Vehicle --&gt; Make some sound / Try to open door / Try to access gear …etc.)  so vehicle can detect an unauthorized access or breach --&gt; Once Vehicle detects the breach , Theft Alarm starts to play  --&gt; Wait for Notification on Mobile
2. Verify Notification content
3. Tap On Notification
</t>
  </si>
  <si>
    <t>1. Push Notification Message should be received in mobile when a 'Theft Alert' is triggered
2. The Notification should contain accurate and descriptive content including the title , body or relevent details 
3. Tapping on the notification (Or Link Provided) should open the app and navigate to the 'My Alert' section</t>
  </si>
  <si>
    <t xml:space="preserve">Verify 'Remote Locking/Unlocking' Push Notifications </t>
  </si>
  <si>
    <t xml:space="preserve">1. Perform 'Remote Lock / Unlock' operation and Exit from My Bentley App inbetween the process --&gt; Wait for Notification on Mobile
2. Verify Notification content
3. Tap On Notification
</t>
  </si>
  <si>
    <t>1. Push Notification Message should be received in mobile when a 'Remote Lock/Unlock' process is completed
2. The Notification should contain accurate and descriptive content including the title , body or relevent details 
3. Tapping on the notification (Or Link Provided) should open the app and navigate to the 'Dashboard -&gt; Remote Lock/Unlock' section</t>
  </si>
  <si>
    <t xml:space="preserve">Verify 'My Cabin Comfort' Push Notifications </t>
  </si>
  <si>
    <t xml:space="preserve">1. Set deparature time to start 'My Cabin Comfort' operation remotely  and Exit from the My Bentley App --&gt;  Wait for the vehicle comfort achieved to set temperature --&gt; Wait for Notification on Mobile
2. Verify Notification content
3. Tap On Notification
</t>
  </si>
  <si>
    <t xml:space="preserve">1. Push Notification Message should be received in mobile when 'My Cabin Comfort' process is completed
2. The Notification should contain accurate and descriptive content including the title , body or relevent details 
3. Tapping on the notification (Or Link Provided) should open the app and navigate to the 'My Cabin Comfort' </t>
  </si>
  <si>
    <t xml:space="preserve">Verify 'My Battery Charge' Push Notifications </t>
  </si>
  <si>
    <t xml:space="preserve">1. Start 'My Battery Charge' operation(With Timer) remotely  and Exit from the My Bentley App --&gt;  Wait for completion of Charge time --&gt; Wait for Notification on Mobile
2. Verify Notification content
3. Tap On Notification
</t>
  </si>
  <si>
    <t xml:space="preserve">1. Push Notification Message should be received in mobile when 'My Battery Charge' process is completed
2. The Notification should contain accurate and descriptive content including the title , body or relevent details 
3. Tapping on the notification (Or Link Provided) should open the app and navigate to the 'My Battery Charge' </t>
  </si>
  <si>
    <t xml:space="preserve">Verify 'Remote Park Assist' Push Notifications </t>
  </si>
  <si>
    <t xml:space="preserve">Note : Free Parking Space next to vehicle parked will be taken as reference for parking  
• Exit from My Bentley App </t>
  </si>
  <si>
    <t>•  In Vehicle Remote Park Assist(i.e. P with Steering Wheel Icon) button is activated
•  One Key(Vehicle Key-1) is next to the vehicle 
•  Automatic User Identification is done
•  Bluetooth Connection with Vehicle is already established(i.e.  Bluetooth should be turned 'ON'  + Bluetooth permission must be granted)
•  Location Services should be turned 'ON' / 'Set to Always' + Precise Location permission must be granted</t>
  </si>
  <si>
    <t xml:space="preserve">1. Drive the vehicle through the parking lot lane and select the available parking space which the vehicle fits and the user want to park from HMI screen
             a) Parallel Parking Space
             b) Angle Parking Space
             c) Perpendicular Parking Space 
2. Select 'Remote Parking' in HMI and Check for Notification on Mobile to initiation Of Parking
3. Verify Notification content
4. Tap On Notification
</t>
  </si>
  <si>
    <t xml:space="preserve">1. Once Parking space is detected, the vehicle HMI should display options
             a) Start Automatic Parking
             b) Remote Parking
2. Push Notification Message should be received in mobile when a Remote Parking is triggered
3. The Notification should contain accurate and descriptive content including the title , body or relevent details 
4. Tapping on the notification (Or Link Provided) should open the app and navigate to Remote Parking -&gt;  Perform Parking Maneuver ( i.e. Press and Hold 'P with Steering Icon' button to start the Maneuver) </t>
  </si>
  <si>
    <t xml:space="preserve">Verify 'Speed Alert' Push Notifications </t>
  </si>
  <si>
    <t>Check for Speed Alert Push Notification received at mobile end
* Creating Speed Alert : 
( In 'SPEED ALERT' screen --&gt; Select 'Add' button --&gt; Set Speed Limit(Ex : 50 mph) --&gt; Click 'Save' button --&gt; Select 'SYNC TO CAR' --&gt; Under 'MY ALERTS' section in 'CAR REMOTE' screen, Displays speed alert status as 'Active'(Active : Count of Active Alerts / Total Count of Alerts created) )
* Triggering Speed Alert Push Notification : 
1. Drive the vehicle speed more than set limit(Ex : 50 mph) and check for Speed Alert Push Notification</t>
  </si>
  <si>
    <t>'Speed Alert' Push Notification should be received at mobile end</t>
  </si>
  <si>
    <t xml:space="preserve">Verify 'Valet Alert' Push Notifications </t>
  </si>
  <si>
    <t>Check for Valet Alert Push Notification received at mobile end
* Creating Valet Alert : 
( In 'VALET ALERT' screen --&gt; Select 'Add' button --&gt; Set Perimeter Distance(Ex : 40 mi) --&gt; Set Speed Limit(Ex : 50 mph) --&gt; Click 'Save' button --&gt; Select 'SYNC TO CAR' --&gt; Under 'MY ALERTS' section in 'CAR REMOTE' screen, Displays valet alert status as 'Active'(Active : Count of Active Alerts / Total Count of Alerts created) )
* Triggering Valet Alert Push Notification : 
1. Drive the vehicle speed more than set limit(Ex : 50 mph) and check for Valet Alert Push Notification
2. Drive the vehicle out of Geofence Area (Ex : 40 mi) and check for Valet Alert Push Notification</t>
  </si>
  <si>
    <t>'Valet Alert' Push Notification should be received at mobile end</t>
  </si>
  <si>
    <t xml:space="preserve">Verify 'Perimeter Alert' Push Notifications </t>
  </si>
  <si>
    <t>Check for Perimeter Alert Push Notification received at mobile end
* Creating Perimeter Alert : 
( In 'PERIMETER ALERT' screen --&gt; Select 'Add' button --&gt; Set Profile Label(Ex : Profile 1) --&gt; Set Perimeter Distance(Ex : 20 mi) --&gt; Click 'Save' button --&gt; Enable the created Profile(Ex : Profile 1) --&gt; Select 'SYNC TO CAR' --&gt; Under 'MY ALERTS' section in 'CAR REMOTE' screen, Displays perimeter alert status as 'Active'(Active : Count of Active Alerts / Total Count of Alerts created) )
* Triggering Perimeter Alert Push Notification : 
1. Drive the vehicle out of Geofence Area (Ex : 20 mi) and check for Perimeter Alert Push Notification</t>
  </si>
  <si>
    <t>'Perimeter Alert' Push Notification should be received at mobile end</t>
  </si>
  <si>
    <t xml:space="preserve">Verify 'Curfew Alert' Push Notifications </t>
  </si>
  <si>
    <t>Check for Curfew Alert Push Notification received at mobile end
* Creating Curfew Alert : 
( In 'CURFEW ALERT' screen --&gt; Select the Curfew Alert Entry(i.e. 0 mph) displayed under 'CURFEW ALERT' Screen --&gt; Enable it --&gt; Select 'SYNC TO CAR' --&gt; Under 'MY ALERTS' section in 'CAR REMOTE' screen, Displays curfew alert status as 'Active' )
* Triggering Curfew Alert Push Notification : 
1. Drive the vehicle more than '0 mph'(i.e. Vehicle moved from Stationary) and check for Curfew Alert Push Notification</t>
  </si>
  <si>
    <t>'Curfew Alert' Push Notification should be received at mobile end</t>
  </si>
  <si>
    <t>Profile</t>
  </si>
  <si>
    <t>Ensure that below preconditions are met before start the testing for this service
• Primary user successfully  registered with vehicle
• My Bentley mobile app should have valid credentials.</t>
  </si>
  <si>
    <t>Accessing Profile screen via My Bentley App</t>
  </si>
  <si>
    <t>1. Click on 'User - Profile' icon</t>
  </si>
  <si>
    <t>The 'PROFILE' screen should be launched displaying : 
• Profile picture
• User name
• My Details tab
• Account tab
• General tab
• Settings / Gear icon</t>
  </si>
  <si>
    <t>Verify 'My Details' in Profile screen</t>
  </si>
  <si>
    <t>• The screen focus is in "My Bentley App - PROFILE - My Details" page
( My Bentley App --&gt; LOGIN OR REGISTER --&gt; Email --&gt; Enter valid email id --&gt; NEXT --&gt; Enter the Password --&gt; NEXT --&gt; Vehicle "DASHBOARD" Screen --&gt; Click on User Profile icon(PROFILES) --&gt; My Details )</t>
  </si>
  <si>
    <t>Check for Name(First &amp; Last Name) and Email Address details</t>
  </si>
  <si>
    <t>Name(First &amp; Last Name) + Email address details should be displayed correctly</t>
  </si>
  <si>
    <t>Verify 'Password Resetting'</t>
  </si>
  <si>
    <t>• The screen focus is in "My Bentley App - PROFILE - Account" page
( My Bentley App --&gt; LOGIN OR REGISTER --&gt; Email --&gt; Enter valid email id --&gt; NEXT --&gt; Enter the Password --&gt; NEXT --&gt; Vehicle "DASHBOARD" Screen --&gt; Click on User Profile icon(PROFILES) --&gt; Account )</t>
  </si>
  <si>
    <t>1. Check password can be reset successfully via My Bentley App
( Vehicle 'DASHBOARD' Screen --&gt; Select User Profile icon(i.e. Extreme Right Icon in footer) --&gt; Account --&gt; Reset Password --&gt; RESET)
2. Select 'SET NEW PASSWORD' or 'Password reset link' and Observe
3. Under Bentley ID Web Portal ,  Enter Password which matches the criteria and click on 'SAVE PASSWORD' option
4. Re-Log in to My Bentley App using changed password</t>
  </si>
  <si>
    <t>Verify changing the 'PIN'</t>
  </si>
  <si>
    <t>• The screen focus is in "My Bentley App - PROFILE - Account - PIN" page
( My Bentley App --&gt; LOGIN OR REGISTER --&gt; Email --&gt; Enter valid email id --&gt; NEXT --&gt; Enter the Password --&gt; NEXT --&gt; Vehicle "DASHBOARD" Screen --&gt; Click on User Profile icon(PROFILES) --&gt; Account --&gt; PIN )</t>
  </si>
  <si>
    <t>1. Click on 'Change PIN' text or arrow mark.
2. Enter an old pin under 'Old PIN' field
3. Enter the new pin in 'New PIN' field
4. Confirm the new pin again in ' Enter new PIN again' field
5. Click on 'CHANGE PIN' button</t>
  </si>
  <si>
    <t>1. 'CHANGE PIN' screen should be launched with fields(Old PIN , New PIN &amp; Enter new PIN again) along with 'CHANGE PIN' button
2. Old pin is entered under 'Old PIN' field
3. New pin is entered under 'New PIN' field
4. New pin is again entered under ' Enter new PIN again' field
5. User should be able to change PIN successfully without any issues</t>
  </si>
  <si>
    <t>Verify 'Forgotten PIN'</t>
  </si>
  <si>
    <t>1. Click on 'Forgotten your PIN'  text or arrow mark.
2. Enter the new pin in 'New PIN' field
3. Confirm the new pin again in ' Enter new PIN again' field
4. Click on 'RESET PIN' button</t>
  </si>
  <si>
    <t xml:space="preserve">1. 'FORGOTTEN YOUR PIN?' screen should be launched with fields(New PIN &amp; Enter new PIN again) along with 'RESET PIN' button
2. New pin is entered under 'New PIN' field
3. New pin is again entered under ' Enter new PIN again' field
4. User should be able to reset PIN successfully without any issues </t>
  </si>
  <si>
    <t>Verify 'Bentley ID Terms of Use'</t>
  </si>
  <si>
    <t>Click on 'Bentley ID Terms of Use' text or arrow mark.</t>
  </si>
  <si>
    <t xml:space="preserve"> 'BENTLEY ID TERMS OF USE' Screen should launch without any issues and texts are readable.</t>
  </si>
  <si>
    <t>Verify 'My Bentley Terms of Use'</t>
  </si>
  <si>
    <t>Click on 'My Bentley Terms of Use' text or arrow mark.</t>
  </si>
  <si>
    <t xml:space="preserve"> 'MY BENTLEY TERMS OF USE' Screen should launch without any issues and texts are readable.</t>
  </si>
  <si>
    <t>Verify 'Terms and Conditions'</t>
  </si>
  <si>
    <t>Click on 'Terms and Conditions' text or arrow mark.</t>
  </si>
  <si>
    <t xml:space="preserve"> 'TERMS AND CONDITIONS' Screen should launch without any issues and texts are readable.</t>
  </si>
  <si>
    <t>Verify 'Bentley ID Privacy Policy'</t>
  </si>
  <si>
    <t>Click on 'Bentley ID Privacy Policy' text or arrow mark.</t>
  </si>
  <si>
    <t xml:space="preserve"> 'BENTLEY ID PRIVACY POLICY' Screen should launch without any issues and texts are readable.</t>
  </si>
  <si>
    <t>Verify 'My Bentley Privacy Policy'</t>
  </si>
  <si>
    <t>Click on 'My Bentley Privacy Policy' text or arrow mark.</t>
  </si>
  <si>
    <t xml:space="preserve"> 'MY BENTLEY PRIVACY POLICY' Screen should launch without any issues and texts are readable.</t>
  </si>
  <si>
    <t>Verify 'Vehicle Tracking Terms and Conditions'</t>
  </si>
  <si>
    <t>Click on 'Vehicle Tracking Terms and Conditions' text or arrow mark.</t>
  </si>
  <si>
    <t xml:space="preserve"> 'VEHICLE TRACKING TERMS AND CONDITIONS' Screen should launch without any issues and texts are readable.</t>
  </si>
  <si>
    <t>Verify 'Copyright'</t>
  </si>
  <si>
    <t>Click on 'Copyright' text or arrow mark.</t>
  </si>
  <si>
    <t xml:space="preserve"> 'COPYRIGHT' Screen should launch without any issues and texts are readable.</t>
  </si>
  <si>
    <t>Verify 'Vehicle Connection'</t>
  </si>
  <si>
    <t>• The screen focus is in "My Bentley App - PROFILE - General" page
( My Bentley App --&gt; LOGIN OR REGISTER --&gt; Email --&gt; Enter valid email id --&gt; NEXT --&gt; Enter the Password --&gt; NEXT --&gt; Vehicle "DASHBOARD" Screen --&gt; Click on User Profile icon(PROFILES) --&gt; General )</t>
  </si>
  <si>
    <t>Click on 'Vehicle Connection' text or arrow mark.</t>
  </si>
  <si>
    <t xml:space="preserve"> 'CONNECTION TO VEHICLE' Screen should launch without any issues and texts are readable.</t>
  </si>
  <si>
    <t>Verify 'Bentley Applications' [ iOS only ]</t>
  </si>
  <si>
    <t>Click on 'Bentley Applications' text or arrow mark.</t>
  </si>
  <si>
    <t>BENTLEY APPLICATIONS Screen should launch by displaying list of Bentley Applications such as 'Bentley Network' , 'Bentley Driver's Guide' , 'Bentayga TSR' , 'Flying Spur TSR' , 'Smart Remote' &amp; 'Bentley 100 AR' without any issues</t>
  </si>
  <si>
    <t>Verify 'Contact'</t>
  </si>
  <si>
    <t>Click on 'Contact' text or arrow mark.</t>
  </si>
  <si>
    <t>CONTACT Focus of the screen is  launch with displaying 'Bentley Support' &amp; 'Bentley Motors' contact details without any issues</t>
  </si>
  <si>
    <t>Verify 'Units'</t>
  </si>
  <si>
    <t>Click on 'Units' text or arrow mark.</t>
  </si>
  <si>
    <t>The below contents are should be display &amp; able to select and deselect.
UNITS : 
Kilometres
Miles
ELECTRIC CONSUMPTION :
kWh/100 mi
mi/kWh
CONSUMPTION : 
mpg (UK)
mpg (US)
PRESSURE :
bar
psi
kPa</t>
  </si>
  <si>
    <t>Verify 'Access' / 'Permissions'</t>
  </si>
  <si>
    <t>• The screen focus is in "My Bentley App - PROFILE - SETTINGS" page
( My Bentley App --&gt; LOGIN OR REGISTER --&gt; Email --&gt; Enter valid email id --&gt; NEXT --&gt; Enter the Password --&gt; NEXT --&gt; Vehicle "DASHBOARD" Screen --&gt; Click on User Profile icon(PROFILES) --&gt; Click on "Settings" or "Gear" icon)</t>
  </si>
  <si>
    <t>Click on 'Access' / 'Permissions' text or arrow mark.</t>
  </si>
  <si>
    <t>Permission Focus of the screen is  display with permission status.</t>
  </si>
  <si>
    <t>Verify 'Last Mile Notification'</t>
  </si>
  <si>
    <t>Observe on 'Last Mile Notification' text.</t>
  </si>
  <si>
    <t>User should be able to enable / disable the 'Last Mile Notification'</t>
  </si>
  <si>
    <t>• The screen focus is in "My Bentley App - PROFILE" page
( My Bentley App --&gt; LOGIN OR REGISTER --&gt; Email --&gt; Enter valid email id --&gt; NEXT --&gt; Enter the Password --&gt; NEXT --&gt; Vehicle "DASHBOARD" Screen --&gt; Click on User Profile icon(PROFILES) )</t>
  </si>
  <si>
    <t>General screen is in focus  
(Login My Bentley App -- &gt; User Profile icon --&gt; General)</t>
  </si>
  <si>
    <t>User should be able to logout the app without any issues.</t>
  </si>
  <si>
    <t>Localization</t>
  </si>
  <si>
    <t>Ensure that below preconditions are met before start the testing for this service
• Vehicle is connected to network 
• The ignition and the MMI system must be switched ON
• Primary registration process is successfully completed. 
• “My Bentley in Car Services' and 'My Bentley Remote Services' license is valid and in use
• Login to My Bentley App with valid credentials</t>
  </si>
  <si>
    <t>NAR, EUR, CHN</t>
  </si>
  <si>
    <t>Verify Text String validation in My Bentley App (English Language)</t>
  </si>
  <si>
    <t>•  Test Mobile language set to "English"</t>
  </si>
  <si>
    <t>1. Check for text strings for all My Bentley features or services which can be validated via 'My Bentley App'</t>
  </si>
  <si>
    <t>Text Strings should be displayed correctly(i.e. No Junk Characters , Missing letters …etc.) and align as per Bentley Standards for English language in 'My Bentley App'</t>
  </si>
  <si>
    <t>Verify Text String validation in My Bentley App (Region Specific Languages)</t>
  </si>
  <si>
    <t>•  Test Mobile language set to region specific languages other then "English"</t>
  </si>
  <si>
    <t xml:space="preserve">1. Check for text strings for all My Bentley features or services which can be validated via 'My Bentley App'
</t>
  </si>
  <si>
    <t>Text Strings should be displayed correctly(i.e. No Junk Characters , Missing letters …etc.) and align as per Bentley Standards for all region specific languages in 'My Bentley App'</t>
  </si>
  <si>
    <t>Privacy Mode</t>
  </si>
  <si>
    <t>Ensure that below preconditions are met before start the testing for this service
• Vehicle is connected to network 
• Primary registration process is successfully completed. 
• “My Bentley in Car Services' and 'My Bentley Remote Services' license is valid and in use</t>
  </si>
  <si>
    <t>Verify accessing of My Bentley App Services when max privacy is activated</t>
  </si>
  <si>
    <t>• Sign In to My Bentley App and check for the below mentioned "My Bentley Mobile App features" when max privacy is enabled ( Launch "My Bentley App" --&gt; Sign In )</t>
  </si>
  <si>
    <t>• Privacy Mode is activated ( Full Privacy Mode = ON)
( HU HMI --&gt; Settings --&gt; Privacy)
Activating privacy mode = Enabled
Use personal data = Disabled
Use vehicle position = Disabled
Share vehicle position = Disabled
Data collection requests from My Bentley = Disabled
Pseudonymised data = Disabled
Anonymised data = Disabled</t>
  </si>
  <si>
    <t xml:space="preserve">Check the status of all My Bentley App Features (in Dash Board, Car Remote and Navigation tab) : </t>
  </si>
  <si>
    <t>The below mentioned My Bentley Mobile App features and subfeatures should not be accessible with relevent inforamtion icon or message 
My Bentley Mobile App features : 
a. Vehicle Status Report
b. Remote Lock/Unlock 
c. My Cabin Comfort (PHEV)
d. My Battery Charge (PHEV)
e. My Car Statistics (PHEV)
f. Theft Alert (Subfeature of VTS in UK vehicle)
g. My Alerts (NAR)
h. Car Finder -&gt; Vehicle location and its details is not accessible 
Note: Other features (e.g. Bcall, Audials, Data Plan, My ALerts etc. ) are still accessible</t>
  </si>
  <si>
    <t xml:space="preserve">Access to Remote Lock/unlock functionalities when Privacy mode is ON </t>
  </si>
  <si>
    <t>• Privacy Mode is ON in HMI</t>
  </si>
  <si>
    <t xml:space="preserve">Scroll up/down and check the status of the Lock and Unlock services. </t>
  </si>
  <si>
    <t>1. The Remote locking service should be disabled(Greyed out).
2. Lock and Unlock button should not be accessible.</t>
  </si>
  <si>
    <t>Verify accessing of 'MY CABIN COMFORT' Service when max privacy is activated</t>
  </si>
  <si>
    <t>• Activation of Privacy Mode ( Full Privacy Mode = ON)
( Vehicle HMI --&gt; Settings --&gt; Privacy --&gt; Activate Privacy Mode(Activate Privacy Mode = ON :: Online Services : Use Personal Data = OFF  , Use Vehicle Position = OFF &amp; Share Vehicle Position = OFF )</t>
  </si>
  <si>
    <t xml:space="preserve">1. Sign In to My Bentley App and check for 'MY CABIN COMFORT' service in Car Remote Screen when max privacy is enabled
( My Bentley App --&gt; LOGIN OR REGISTER --&gt; Email --&gt; Enter valid email id --&gt; NEXT --&gt; Enter the Password --&gt; NEXT --&gt; Vehicle 'DASHBOARD' Screen --&gt;  Launch 'CAR REMOTE' screen(i.e. Second Tab present in Footer Screen from left) ) --&gt; MY CABIN COMFORT section )
</t>
  </si>
  <si>
    <t xml:space="preserve">'MY CABIN COMFORT' service should not be accessible  i.e. Relevant Icons should be greyed out when max privacy is enabled)
</t>
  </si>
  <si>
    <t>Verify accessing of 'MY BATTERY CHARGE' Service when max privacy is activated</t>
  </si>
  <si>
    <t xml:space="preserve">1. Sign In to My Bentley App and check for 'MY BATTERY CHARGE' service in Car Remote Screen when max privacy is enabled
( My Bentley App --&gt; LOGIN OR REGISTER --&gt; Email --&gt; Enter valid email id --&gt; NEXT --&gt; Enter the Password --&gt; NEXT --&gt; Vehicle 'DASHBOARD' Screen --&gt;  Launch 'CAR REMOTE' screen(i.e. Second Tab present in Footer Screen from left) --&gt; MY BATTERY CHARGE section )
</t>
  </si>
  <si>
    <t xml:space="preserve">'MY BATTERY CHARGE' service should not be accessible  i.e. Relevant Icons should be greyed out when max privacy is enabled)
</t>
  </si>
  <si>
    <t>Verification of Car Finder when 'Activating Privacy Mode' is enabled under vehicle HMI 'Settings Privacy' screen</t>
  </si>
  <si>
    <t xml:space="preserve">• Enable 'Activating Privacy Mode' under vehicle HMI 'Settings Privacy' screen
(HMI Home screen -&gt; Settings -&gt; Privacy)
Activating privacy mode = Enabled
Use personal data = Disabled
Use vehicle position = Disabled
Share vehicle position = Disabled
Data collection requests from My Bentley = Disabled
Pseudonymised data = Disabled
Anonymised data = Disabled </t>
  </si>
  <si>
    <t>Check for 'Car' icon under 'My Bentley App - NAVIGATION' screen when 'Activating Privacy Mode' is enabled in vehicle HMI 'Settings Privacy' screen</t>
  </si>
  <si>
    <t>• Find My Car : In My Bentley App, The 'Car' icon under 'NAVIGATION' screen should not be displayed when Privacy mode is enabled via vehicle HMI 'Settings Privacy' screen
(i.e. 'Car' icon and the vehicle pointer icon should not be visible in map view under 'NAVIGATION' screen )</t>
  </si>
  <si>
    <t>Verify 'Remote Parking' feature in My Bentley App when Privacy Mode is activated</t>
  </si>
  <si>
    <t>•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a) Parallel Parking Space
             b) Angle Parking Space
             c) Perpendicular Parking Space 
• The distance between the GPS position of the sender and receiver must be &lt;4m 
• One Key(Vehicle Key-1) is next to the vehicle 
• Privacy Mode is activated ( Full Privacy Mode = ON)
( HU HMI --&gt; Settings --&gt; Privacy --&gt; Activate Privacy Mode(Activate Privacy Mode = ON :: Online Services : Use Personal Data = OFF  , Use Vehicle Position = OFF &amp; Share Vehicle Position = OFF )</t>
  </si>
  <si>
    <t>1. Check for 'REMOTE PARKING' section in 'CAR REMOTE' screen
( My Bentley App --&gt; SIGN IN --&gt; Vehicle 'DASHBOARD' screen --&gt;Click on 'CAR REMOTE' tab)</t>
  </si>
  <si>
    <t>1. 'REMOTE PARKING' section should be greyed out and should display the status as 'Function not available ' under 'CAR REMOTE' screen when max privacy mode is activated</t>
  </si>
  <si>
    <t>Verify accessing of  'MY CAR STATISTICS' Service when max privacy is activated</t>
  </si>
  <si>
    <t>Activation of Privacy Mode ( Full Privacy Mode = ON)
( HU HMI --&gt; Settings --&gt; Privacy --&gt; Activate Privacy Mode(Activate Privacy Mode = ON :: Online Services : Use Personal Data = OFF  , Use Vehicle Position = OFF &amp; Share Vehicle Position = OFF )</t>
  </si>
  <si>
    <t xml:space="preserve">Sign In to My Bentley App and check for 'MY CAR STATISTICS' feature in Car Remote Screen when max privacy is enabled
( Launch 'My Bentley App' --&gt; Sign In -&gt;  'Car Remote Screen' )
</t>
  </si>
  <si>
    <t xml:space="preserve">'MY CAR STATISTICS' feature should not be accessible  i.e. Relevant Icons should be greyed out when max privacy is enabled)
</t>
  </si>
  <si>
    <t>Verify Breakdown Call initiation via My Bentley App when privacy mode is activated</t>
  </si>
  <si>
    <t>• Privacy Mode = On
( Vehicle HMI Home screen -&gt; Settings -&gt; Privacy --&gt; Activating privacy mode = Enabled )</t>
  </si>
  <si>
    <t>1. In 'ROADSIDE ASSISTANCE' screen, Select 'CALL NOW' button and try to establish call to the region specific BCALL contact number when Privacy mode is activated
UK : +44 800 316 1333
EU &amp; Italy : 00800 4886 4886
NAR &amp; CND : +1 800 323 0100
CHN : +864000032877
2. After BCALL established, Check for two way communication establishment between Agent and Customer while BCALL is active
3. End the ongoing Breakdown CALL</t>
  </si>
  <si>
    <t>1. Breakdown Call to respective numbers should be successfull when privacy mode is activated 
UK : +44 800 316 1333
EU &amp; Ireland : +49 221802471854
NAR &amp; CND : +1 800 455 5045
CHN : +864000032877
2. Two way communication between Agent and Customer should be successfull
3. Breakdown Call should end without any issues</t>
  </si>
  <si>
    <t xml:space="preserve">Verify accessing of My Bentley App Services when Online Services  -&gt; Use Personal Data = OFF </t>
  </si>
  <si>
    <t>• Focus should be on Privacy screen and Privacy mode is not active (HMI Home screen -&gt; Settings -&gt; Privacy)
Activating privacy mode = Disabled
Use Personal data = Enabled
Use vehicle position = Enabled
Share vehicle position = Enabled
Data collection requests from My Bentley = Enabled
Pseudonymised data = Enabled
Anonymised data = Enabled
Click uncheck box to disable 'Use Personal Data' Online Services Privacy Settings option</t>
  </si>
  <si>
    <t xml:space="preserve">1. Sign In to My Bentley App and check for the below mentioned 'My Bentley Mobile App features' when max privacy is enabled ( Launch 'My Bentley App' --&gt; Sign In )
2. Check if  'Use Vehicle Position' and 'Share Vehicle Position'  option can be acivated/.deactivated
3. Check the status of all My Bentley App Features (in Dash Board, Car Remote and Navigation tab) when  'Use Personal Data' is set to 'OFF'  : 
</t>
  </si>
  <si>
    <t xml:space="preserve">1. Notice that disabling 'Use Personal Data' Online Services Privacy Settings option should also disable 'Use Vehicle Position' &amp; 'Share Vehicle Position' Online Services(i.e. Full Privacy is activated) :
Activating privacy mode = Disabled
Use Personal data = Disabled [i.e. User can enable / disable it]
Use vehicle position = Disabled [i.e. User can enable / disable it]
Share vehicle position = Disabled [i.e. User can enable / disable it]
Data collection requests from My Bentley = Enabled
Pseudonymised data = Enabled
Anonymised data = Enabled
2. Signing In to My Bentley App should be successfull
3. Should be able to activate/deactivate 'Use Vehicle Position',  'Share Vehicle Position' options  when 'Use Personal Data' is ON
4.  Act like Full Privacy Mode is active and below mentioned My Bentley Mobile App features and subfeatures should not be accessible with relevent inforamtion icon or message 
My Bentley Mobile App features : 
a. Vehicle Status Report
b. Remote Lock/Unlock 
c. My Cabin Comfort (PHEV)
d. My Battery Charge (PHEV)
e. My Car Statistics (PHEV)
f. Theft Alert (Subfeature of VTS in UK vehicle)
g. My Alerts (NAR)
h. Car Finder -&gt; Vehicle location and its details is not accessible 
Note: Other features (e.g. Bcall, Audials, Data Plan etc. ) are still accessible
</t>
  </si>
  <si>
    <t xml:space="preserve">Verify accessing of My Bentley App Services when Online Services  -&gt; Use Vehicle Position  = OFF </t>
  </si>
  <si>
    <t>• Focus should be on Privacy screen and Privacy mode is not active (HMI Home screen -&gt; Settings -&gt; Privacy)
Activating privacy mode = Disabled
Use Personal data = Enabled
Use vehicle position = Enabled
Share vehicle position = Enabled
Data collection requests from My Bentley = Disabled
Pseudonymised data = Disabled
Anonymised data = Disabled
Click uncheck box to disable 'Use Vehicle Position' Online Services Privacy Settings option</t>
  </si>
  <si>
    <t>1. Sign In to My Bentley App
( My Bentley App --&gt; LOGIN OR REGISTER --&gt; Email --&gt; Enter valid email id --&gt; NEXT --&gt; Enter the Password --&gt; NEXT --&gt; Vehicle 'DASHBOARD' Screen )
2. Check the status of all My Bentley App Features (i.e. In DASHBOARD , CAR REMOTE and NAVIGATION screens) :
a. Car Finder
b. My Alerts'(NAR)
3. Check  if  'Use Personal Data' and 'Share Vehicle Position' options can be acivated/deactivated under vehicle HMI Privacy screen
(HMI Home screen -&gt; Settings -&gt; Privacy)</t>
  </si>
  <si>
    <t>1. Notice that disabling 'Use Vehicle Postion' Online Services Privacy Settings option should also disable 'Share Vehicle Position' Online Services :
Activating privacy mode = Disabled
Use Personal data = Enabled
Use vehicle position = Disabled
Share vehicle position = Disabled
Data collection requests from My Bentley = Disabled
Pseudonymised data = Disabled
Anonymised data = Disabled
2. Signing In to My Bentley App should be successfull and focus is in vehicle DASHBOARD screen
3.  The below mentioned My Bentley Mobile App features and subfeatures should not be accessible with relevent information message 
My Bentley Mobile App features : 
a. Car Finder --&gt; Vehicle location and its details is not accessible 
b. My Alerts'(NAR)
Note: Other features are still accessible
4. User can activate or deactivate 'Use Personal Data' and  'Share Vehicle Position' options under vehicle HMI Privacy screen without any issues</t>
  </si>
  <si>
    <t xml:space="preserve">Verify accessing of My Bentley App Services when Online Services  -&gt; Share Vehicle Position  = OFF </t>
  </si>
  <si>
    <t>• Focus should be on Privacy screen and Privacy mode is not active (HMI Home screen -&gt; Settings -&gt; Privacy)
Activating privacy mode = Disabled
Use Personal data = Enabled
Use vehicle position = Enabled
Share vehicle position = Enabled
Data collection requests from My Bentley = Disabled
Pseudonymised data = Disabled
Anonymised data = Disabled
Click uncheck box to disable 'Share Vehicle Position' Online Services Privacy Settings option</t>
  </si>
  <si>
    <t>1. Sign In to My Bentley App
( My Bentley App --&gt; LOGIN OR REGISTER --&gt; Email --&gt; Enter valid email id --&gt; NEXT --&gt; Enter the Password --&gt; NEXT --&gt; Vehicle 'DASHBOARD' Screen )
2. Check the status of all My Bentley App Features (i.e. In DASHBOARD , CAR REMOTE and NAVIGATION screens) :
a. Car Finder
b. My Alerts'(NAR)
3. Check  if  'Use Personal Data' and 'Share Vehicle Position' options can be acivated/deactivated under vehicle HMI Privacy screen by user
(HMI Home screen -&gt; Settings -&gt; Privacy)</t>
  </si>
  <si>
    <t>1. Notice that disabling 'Share Vehicle Postion' Online Services Privacy Settings option should not deactivate either 'Use Personal Data' and  'Share Vehicle Position' Online Services :
Activating privacy mode = Disabled
Use Personal data = Enabled
Use vehicle position = Enabled
Share vehicle position = Disabled
Data collection requests from My Bentley = Disabled
Pseudonymised data = Disabled
Anonymised data = Disabled
2. Signing In to My Bentley App should be successfull and focus is in vehicle DASHBOARD screen
3.  The below mentioned My Bentley Mobile App features and subfeatures should not be accessible with relevent information message 
My Bentley Mobile App features : 
a. Car Finder --&gt; Vehicle location and its details is not accessible 
b. My Alerts'(NAR)
Note: Other features are still accessible
4. User can activate or deactivate 'Use Personal Data' and  'Share Vehicle Position' options under vehicle HMI Privacy screen without any issues</t>
  </si>
  <si>
    <t>Verification of Car Finder functionality when 'Share Vehicle Position' Online Services Privacy Settings option is deactivated via vehicle HMI</t>
  </si>
  <si>
    <t xml:space="preserve">• Deactivate 'Share Vehicle Position' under vehicle HMI 'Settings Privacy' screen
(HMI Home screen -&gt; Settings -&gt; Privacy)
Activating privacy mode = Disabled
Use personal data = Enabled
Use vehicle position = Enabled
Share vehicle position = Disabled
Data collection requests from My Bentley = Disabled
Pseudonymised data = Disabled
Anonymised data = Disabled </t>
  </si>
  <si>
    <t>Check for 'Car' icon under 'My Bentley App - NAVIGATION' screen when 'Share Vehicle Position' Online Services Privacy Settings option is deactivated in vehicle HMI 'Settings Privacy' screen</t>
  </si>
  <si>
    <t>The below services should not share the vehicle position information when 'Share Vehicle Position' Online Services Privacy Settings option is deactivated
• Find My Car : In My Bentley App, The 'Car' icon under 'NAVIGATION' screen should not be displayed
(i.e. 'Car' icon and the vehicle pointer icon should not be visible in map view under 'NAVIGATION' screen )</t>
  </si>
  <si>
    <t>Verify whether 'MY CAR STATISTICS' Service in My Bentley App can be accessed when partial privacy is activated(i.e. Share Vehicle Position = OFF)</t>
  </si>
  <si>
    <t>Activation of Privacy Mode (Activate Privacy Mode = OFF :: Use Personal Data = ON , Use Vehicle Position = ON &amp; Share Vehicle Position = OFF)
( HU HMI --&gt; Settings --&gt; Privacy --&gt; Activate Privacy Mode(Activate Privacy Mode = OFF :: Online Services : Use Personal Data = ON  , Use Vehicle Position = ON &amp; Share Vehicle Position = OFF )</t>
  </si>
  <si>
    <t>Sign In to My Bentley App and check for 'MY CAR STATISTICS' section under 'CAR REMOTE' screen when only 'Share Vehicle Position' privacy settings is set to 'OFF' from HMI
( Launch 'My Bentley App' --&gt; Sign In  --&gt; Vehicle 'DASHBOARD' screen --&gt; Click on 'CAR REMOTE' tab(i.e. Second Tab present in Footer Screen) )</t>
  </si>
  <si>
    <t>'MY CAR STATISTICS' section under 'CAR REMOTE' screen should not be disabled or greyed out when only 'Share Vehicle Position' privacy settings is set to 'OFF' from HMI</t>
  </si>
  <si>
    <t>Remote Park Assist</t>
  </si>
  <si>
    <t>Ensure that below preconditions are met before start the testing for this service
• Vehicle is connected to network 
• Primary registration process is successfully completed. 
• 'My Bentley Remote Service - Remote Park Assist' license is valid and in use
•  Ignition = ON
•  Privacy Mode = OFF
• Test Mobile where My Bentley App is installed is paired to Head Unit via Bluetooth</t>
  </si>
  <si>
    <t>Verify 'Remote Parking' section in CAR REMOTE screen</t>
  </si>
  <si>
    <t>• The screen focus is in "My Bentley App - CAR REMOTE" page
( My Bentley App --&gt; LOGIN OR REGISTER --&gt; Email --&gt; Enter valid email id --&gt; NEXT --&gt; Enter the Password --&gt; NEXT --&gt; Vehicle "DASHBOARD" screen Click on "CAR REMOTE" tab )</t>
  </si>
  <si>
    <t xml:space="preserve">• Vehicle Stationary
• Primary User Nomination should be done
• Automatic User Identification should be enabled / turned ON
• Location Services should be turned 'ON' / 'Set to Always' + Precise Location permission must be granted
• Bluetooth should be turned 'ON'(i.e. 'Bluetooth' Service is turned On in Mobile Device)  + Bluetooth permission must be granted(i.e. 'Bluetooth' / 'Nearby devices' Permission in My Bentley App is granted)
• Internet Data should be available
• The distance between the GPS position of the sender and receiver must be &lt;4m
• One Key(Vehicle Key-1) is next to the vehicle </t>
  </si>
  <si>
    <t>1. In 'CAR REMOTE' screen , Check for 'Remote Parking' section in the below mentioned scenarios : 
Scenario 1 : Preconditions are fulfilled
Scenario 2 : Preconditions not met(i.e. Bluetooth is turned Off in mobile)
Scenario 3 : Privacy mode active (i.e. Enable Max Privacy in vehicle)</t>
  </si>
  <si>
    <t xml:space="preserve">1. Under CAR REMOTE screen of 'Remote Parking' section :
Scenario 1 : All Preconditions met
a) Title : REMOTE PARKING
b) Image : Vehicle Image associated with park assist feature should be enabled
c) Status : Park in and out your vehicle remotely
Scenario 2 : Preconditions not met
a) Title : REMOTE PARKING
b) Image : Vehicle Image associated with park assist feature should be enabled
c) Status : Preconditions not fulfilled
Scenario 3 : Privacy mode active
a) Title : REMOTE PARKING
b) Image : Vehicle Image associated with park assist feature should be disabled or greyed out
c) Status : Function not available
d) Informatory / Lock Icon : Clicking on it should display relevant and applicable msg.  [ Privacy mode active - The service is not available. To activate the service, Please deactivate the privacy settings in the BMS of your vehicle ] along with 'OK' softkey  </t>
  </si>
  <si>
    <t>Verify accessing the 'Remote Parking' feature via My Bentley App</t>
  </si>
  <si>
    <t>1a. In 'CAR REMOTE' screen , Click on 'Remote Parking' section
2. Click on 'START REMOTE PARKING' button in 'REMOTE PARKING - CONNECTION ESTABLISHED' screen</t>
  </si>
  <si>
    <t>1a. 'REMOTE PARKING - CONNECTION ESTABLISHED' screen should be launched and should display relevant and applicable msg. (Ex : 'Please use your My Bentley App to use the remote parking function' / 'The vehicle key and the mobile device must be with you and may not be further away from the vehicle than 6m ) along with 'START REMOTE PARKING' button
1b. In case if (Ex : Bluetooth connection is not established with vehicle)  :: 'REMOTE PARKING - CONNECTION WITH THE VEHICLE REQUIRED' screen should be launched and displays
a) Relevant &amp; Applicable Message :  'Please stay close to your vehicle' 
b) 'START CONNECTION' button
c) Information - 'i' Icon - Clicking on it launches 'HOW IT WORKS' screen
3. 'REMOTE PARKING - PRESS AND HOLD START BUTTON' screen should be launched and should display relevant and applicable msg. (Ex : 'Please start the engine in next 10 seconds.Otherwise- vehicle will disconnected.') along with 'START/STOP' button</t>
  </si>
  <si>
    <t>Validating 'Remote Parking' feature 'HOW IT WORKS' screen in My Bentley App</t>
  </si>
  <si>
    <t>1. In 'CAR REMOTE' screen , Click on 'Remote Parking' section
2. - Clicking on the Information - 'i' Icon
3. Click on 'Remote parking out' option &amp; Validate the content displayed
4. Click on 'Remote parking in' option &amp; Validate the content displayed</t>
  </si>
  <si>
    <t>1. 'REMOTE PARKING - CONNECTION ESTABLISHED' screen should be launched and displays 
a) Relavant &amp; Applicable Message :  'Please use your My Bentley App to use the remote parking function' / 'The vehicle key and the mobile device must be with you and may not be further away from the vehicle than 6m' 
b) 'START REMOTE PARKING' button
c) Information - 'i' Icon 
2.  'HOW IT WORKS' screen is launched displaying :
a) Remote parking out
b) Remote parking in
3. Clicking on 'Remote parking out' should display :
Relavant &amp; Applicable Message : 
(Ex : 
a) Before starting the remote parking function, make sure that the ignition and engine are off. 
b) To park out, move outside the vehicle with the vehicle key. Keep in mind, that the remote parking is only possible near the vehicle. 
c) Make also sure, that no other key is inside or near the vehicle.)  
4. Clicking on 'Remote parking in' should display :
a) 'P with Steering Wheel Icon' + Relavant &amp; Applicable Message : (Ex : 'To park in, initiate the parking process in the vehicle by pressing the parking button. In the next step the parking lots will be scanned.')
b) 'P with Mobile Device Icon' + Relavant &amp; Applicable Message : (Ex : 'After parking lot has been found, select a desired parking scenario and handover the parking process to the mobile device by pressing the remote parking button.')
c) Relavant &amp; Applicable Message : (Ex : 'Leave the engine running, exit the vehicle with the key and your mobile device and start promptly the remote parking function in the My Bentley app.')
d) Relavant &amp; Applicable Message : (Ex : 'Keep in mind, that the remote parking is only possible near the vehicle.')</t>
  </si>
  <si>
    <t>Verify activating 'Automatic User Identification' under 'CONNECTION TO VEHICLE' screen of My Bentley App</t>
  </si>
  <si>
    <t>• The screen focus is in "My Bentley App - "CONNECTION TO VEHICLE"  page
( My Bentley App --&gt; LOGIN OR REGISTER --&gt; Email --&gt; Enter valid email id --&gt; NEXT --&gt; Enter the Password --&gt; NEXT --&gt; Vehicle "DASHBOARD" screen --&gt; Click on "PROFILES" tab --&gt; Go to "General" tab --&gt; Select "Vehicle connection" option --&gt; Go to "Bluetooth" tab in CONNECTION TO VEHICLE screen )</t>
  </si>
  <si>
    <t xml:space="preserve">• Vehicle Stationary
• Primary User Nomination should be done
• Location Services should be turned 'ON' / 'Set to Always' + Precise Location permission must be granted
• Automatic User Identification should be disabled / turned OFF under under 'CONNECTION TO VEHICLE' screen of My Bentley App
• Bluetooth should be turned 'ON'(i.e. 'Bluetooth' Service is turned On in Mobile Device)  + Bluetooth permission must be granted(i.e. 'Bluetooth' / 'Nearby devices' Permission in My Bentley App is granted)
• Internet Data should be available
• The distance between the GPS position of the sender and receiver must be &lt;4m
• One Key(Vehicle Key-1) is next to the vehicle </t>
  </si>
  <si>
    <t xml:space="preserve">1. Under 'CONNECTION TO VEHICLE' screen of My Bentley App, Try activating 'Automatic User Identification' </t>
  </si>
  <si>
    <t>1. 'Automatic User Identification' under 'CONNECTION TO VEHICLE' screen should be activated successfully without any issues</t>
  </si>
  <si>
    <t>Verify activating 'Automatic User Identification' under 'CONNECTION TO VEHICLE' screen of My Bentley App when there is no internet</t>
  </si>
  <si>
    <t xml:space="preserve">1. Turn Off Mobile Data(i.e. Internet is turned Off in mobile device)
2. Under 'CONNECTION TO VEHICLE' screen of My Bentley App, Try activating 'Automatic User Identification' when there is no internet data and Observe </t>
  </si>
  <si>
    <t>1. Mobile Data is successfully turned Off in mobile device
2. Error Popup relavant &amp; applicable message (Ex : 'Activation failed - Network Error : There seems to be no connection to the internet.') should be displayed</t>
  </si>
  <si>
    <t>Verify deactivating 'Automatic User Identification' under 'CONNECTION TO VEHICLE' screen of My Bentley App</t>
  </si>
  <si>
    <t xml:space="preserve">• Vehicle Stationary
• Primary User Nomination should be done
• Location Services should be turned 'ON' / 'Set to Always' + Precise Location permission must be granted
• Automatic User Identification should be enabled / turned ON under 'CONNECTION TO VEHICLE' screen of My Bentley App
• Bluetooth should be turned 'ON'(i.e. 'Bluetooth' Service is turned On in Mobile Device)  + Bluetooth permission must be granted(i.e. 'Bluetooth' / 'Nearby devices' Permission in My Bentley App is granted)
• Internet Data should be available
• The distance between the GPS position of the sender and receiver must be &lt;4m
• One Key(Vehicle Key-1) is next to the vehicle </t>
  </si>
  <si>
    <t xml:space="preserve">1. Under 'CONNECTION TO VEHICLE' screen of My Bentley App, Try deactivating 'Automatic User Identification' </t>
  </si>
  <si>
    <t>1. 'Automatic User Identification' under 'CONNECTION TO VEHICLE' screen should be deactivated successfully without any issues</t>
  </si>
  <si>
    <t>Validating 'SERVICES - Remote Parking' section under 'CONNECTION TO VEHICLE' screen of My Bentley App</t>
  </si>
  <si>
    <t>1. Under 'CONNECTION TO VEHICLE' screen of My Bentley App, Select 'SERVICES - Remote Parking' option</t>
  </si>
  <si>
    <t xml:space="preserve">1. 'REMOTE PARKING' screen should be launched displaying : 
a) Relavant &amp; Applicable Message : (Ex : 'With Remote Parking you can remotely park in and out your vehicle with MY BENTLEY app. The system takes over steering movements, gear changes, acceleration and braking. - Please note the Remote Parking Assist plus is only supported by the following vehicles from your account Bentayga Hybrid') </t>
  </si>
  <si>
    <t>Validating 'Preconditions' section under 'CONNECTION TO VEHICLE' screen of My Bentley App when preconditions are not fulfilled or not met</t>
  </si>
  <si>
    <t xml:space="preserve">• Vehicle Stationary
• Primary User Nomination should be done
• Automatic User Identification should be enabled / turned ON under 'CONNECTION TO VEHICLE' screen of My Bentley App
• Location Services is turned Off (i.e. 'Location' Service is turned Off in Mobile Device)
• Precise Location Permission is not granted(i.e. 'Location' Permission in My Bentley App is not granted)
• Bluetooth is turned Off (i.e. 'Bluetooth' Service is turned Off in Mobile Device)
• Bluetooth Permission not granted to vehicle(i.e. 'Bluetooth' / 'Nearby devices' Permission in My Bentley App is not granted)
• Internet Data should be available
• The distance between the GPS position of the sender and receiver must be &lt;4m
• One Key(Vehicle Key-1) is next to the vehicle </t>
  </si>
  <si>
    <t>1. Under 'CONNECTION TO VEHICLE' screen of My Bentley App, Clearly focus on 'Preconditions' section 
2. Click on 'Preconditions' section status 'Not met' and Observe</t>
  </si>
  <si>
    <t>1. 'Preconditions' section under 'CONNECTION TO VEHICLE' screen should display status as 'Not met' when preconditions are not met / fulfilled
2. 'PRECONDITIONS' Screen should be launched displaying :
Relavant &amp; Applicable Message : (Ex : 'To establish bluetooth connection between vehicle and your mobile device, it is necessary that the following requirements are met: 
a) Bluetooth must be on
b) Bluetooth permission must be granted
c) Location must be on
d) Precise location permission must be granted
e) Location permission must be 'always' granted (Optional - Future Implementation)
f) 'ENABLE ACCESS' button - Clicking on it should take focus to 'ENABLE ACCESS' Screen where user can activate 'Bluetooth' &amp; 'Location Services')</t>
  </si>
  <si>
    <t>Activating Bluetooth via 'ENABLE ACCESS' screen of My Bentley App when preconditions are not met / fulfilled</t>
  </si>
  <si>
    <t>• The screen focus is in "My Bentley App - "CONNECTION TO VEHICLE"  page
( My Bentley App --&gt; LOGIN OR REGISTER --&gt; Email --&gt; Enter valid email id --&gt; NEXT --&gt; Enter the Password --&gt; NEXT --&gt; Vehicle "DASHBOARD" screen --&gt; Click on "PROFILES" tab --&gt; Go to "General" tab --&gt; Select "Vehicle connection" option --&gt; Go to "Bluetooth" tab in CONNECTION TO VEHICLE screen --&gt; Select "Preconditions" section status "Not met" --&gt; Click on "ENABLE ACCESS" button )</t>
  </si>
  <si>
    <t xml:space="preserve">• Vehicle Stationary
• Primary User Nomination should be done
• Automatic User Identification should be enabled / turned ON under 'CONNECTION TO VEHICLE' screen of My Bentley App
• Location Services is turned On (i.e. 'Location' Service is turned On in Mobile Device)
 • Precise Location Permission is already granted(i.e. 'Location' Permission in My Bentley App is granted)
• Bluetooth is turned Off (i.e. 'Bluetooth' Service is turned Off in Mobile Device)
• Bluetooth Permission not granted to vehicle(i.e. 'Bluetooth' / 'Nearby devices' Permission in My Bentley App is not granted)
• Internet Data should be available
• The distance between the GPS position of the sender and receiver must be &lt;4m
• One Key(Vehicle Key-1) is next to the vehicle </t>
  </si>
  <si>
    <t>1. Under 'CONNECTION TO VEHICLE' screen of My Bentley App, Clearly focus on 'Preconditions' section 
2. Focus is in  'ENABLE ACCESS' section status 'Not met' and Observe
3. Click on 'ENABLE ACCESS' button'
4. Activate 'Bluetooth' service
5. Grant 'Bluetooth' service permission</t>
  </si>
  <si>
    <t>1. 'Preconditions' section under 'CONNECTION TO VEHICLE' screen should display status as 'Not met' when preconditions are not met / fulfilled
2. 'PRECONDITIONS' Screen should be launched displaying :
Relavant &amp; Applicable Message : (Ex : 'To establish bluetooth connection between vehicle and your mobile device, it is necessary that the following requirements are met: 
a) Bluetooth must be on
b) Bluetooth permission must be granted
c) 'ENABLE ACCESS' button)
3.  'Bluetooth - ENABLE ACCESS' Screen should be launched where user can 
a) Activate 'Bluetooth' service
b) Grant Permission for bluetooth communication between My Bentley App &amp; vehicle if required
4. 'Bluetooth' service should be activated successfully without any issues
5. Bluetooth permission should be granted for My Bentley App to communicate with the vehicle successfully without any issues</t>
  </si>
  <si>
    <t>Activating Location Service via 'ENABLE ACCESS' screen of My Bentley App when preconditions are not met / fulfilled</t>
  </si>
  <si>
    <t xml:space="preserve">• Vehicle Stationary
• Primary User Nomination should be done
• Automatic User Identification should be enabled / turned ON under 'CONNECTION TO VEHICLE' screen of My Bentley App
• Location Services is turned Off (i.e. 'Location' Service is turned Off in Mobile Device)
• Precise Location Permission is not granted(i.e. 'Location' Permission in My Bentley App is not granted)
• Bluetooth should be turned 'ON'(i.e. 'Bluetooth' Service is turned On in Mobile Device) 
• Bluetooth Permission is already granted to vehicle(i.e. 'Bluetooth' / 'Nearby devices' Permission in My Bentley App is granted)
• Internet Data should be available
• The distance between the GPS position of the sender and receiver must be &lt;4m
• One Key(Vehicle Key-1) is next to the vehicle </t>
  </si>
  <si>
    <t>1. Under 'CONNECTION TO VEHICLE' screen of My Bentley App, Clearly focus on 'Preconditions' section 
2. Focus is in  'ENABLE ACCESS' section status 'Not met' and Observe
3. Click on 'ENABLE ACCESS' button'
4. Activate 'Location' service
5. Grant 'Location' service permission</t>
  </si>
  <si>
    <t>1. 'Preconditions' section under 'CONNECTION TO VEHICLE' screen should display status as 'Not met' when preconditions are not met / fulfilled
2. 'PRECONDITIONS' Screen should be launched displaying :
Relavant &amp; Applicable Message : (Ex : 'To establish bluetooth connection between vehicle and your mobile device, it is necessary that the following requirements are met: 
a) Location must be on
b) Precise location permission must be granted
c) Location permission must be 'always' granted (Optional - Future Implementation)
d) 'ENABLE ACCESS' button)
3.  'Location -  ENABLE ACCESS' Screen should be launched where user can 
a) Activate 'Location' service
b) Grant location service permission for My Bentley App to access navigation and location specific services if required
4. 'Location' service should be activated successfully without any issues
5. Location permission for My Bentley App to access navigation and location specific services should be granted successfully without any issues</t>
  </si>
  <si>
    <t>Verify available parking space along the parking lot lane display in HMI</t>
  </si>
  <si>
    <t xml:space="preserve">Note : Free Parking Space next to vehicle parked will be taken as reference for parking  </t>
  </si>
  <si>
    <t>• In Vehicle Remote Park Assist(i.e. P with Steering Wheel Icon) button is activated
• One Key(Vehicle Key-1) is next to the vehicle 
• Automatic User Identification is done
• Bluetooth Connection with Vehicle is already established(i.e.  Bluetooth should be turned 'ON'  + Bluetooth permission must be granted)
• Location Services should be turned 'ON' / 'Set to Always' + Precise Location permission must be granted</t>
  </si>
  <si>
    <t xml:space="preserve">1. Drive the vehicle through the parking lot lane(&lt;5Km/Hr) and check for available parking space's are displayed in HMI
             a) Parallel Parking Space
             b) Angle Parking Space
             c) Perpendicular Parking Space </t>
  </si>
  <si>
    <t xml:space="preserve">1. The available parking space along the lane should be displayed in HMI screen
             a) Parallel Parking Space
             b) Angle Parking Space
             c) Perpendicular Parking Space </t>
  </si>
  <si>
    <t>Verify occupied parking space display along the parking lot lane in HMI</t>
  </si>
  <si>
    <t xml:space="preserve">1. The occupied parking space along the lane should be greyed out and should display in such a form where it should be understandable to user(i.e. Parking Space Occupied) in HMI screen or the occupied parking space should not be displayed in HMI 
             a) Parallel Parking Space
             b) Angle Parking Space
             c) Perpendicular Parking Space </t>
  </si>
  <si>
    <t>Verify the parking space not fit for vehicle display along the parking lot lane in HMI</t>
  </si>
  <si>
    <t xml:space="preserve">1. Drive the vehicle through the parking lot lane(&lt;5Km/Hr) and check for small available parking space(i.e. Parking Space which does not fit for vehicle ) display along the parking lot lane in HMI
             a) Parallel Parking Space
             b) Angle Parking Space
             c) Perpendicular Parking Space </t>
  </si>
  <si>
    <t xml:space="preserve">1. The small parking space where the current vehicle not fits in for parking along the lane should be greyed out and should display in such a form where it should be understandable to user(i.e. The Parking Space - Not Usable) in HMI screen or the small parking space should not be displayed in HMI 
             a) Parallel Parking Space
             b) Angle Parking Space
             c) Perpendicular Parking Space </t>
  </si>
  <si>
    <t>Verify occupied parking space displayed along the parking lot lane in HMI is not selectable</t>
  </si>
  <si>
    <t xml:space="preserve">1. Drive the vehicle through the parking lot lane(&lt;5Km/Hr) and try to select the occupied parking space via HMI
             a) Parallel Parking Space
             b) Angle Parking Space
             c) Perpendicular Parking Space </t>
  </si>
  <si>
    <t xml:space="preserve">1. The occupied parking space along the lane should not be selectable via HMI screen or the occupied parking space should not be displayed in HMI
             a) Parallel Parking Space
             b) Angle Parking Space
             c) Perpendicular Parking Space </t>
  </si>
  <si>
    <t>Verify the parking space not fit for vehicle displayed along the parking lot lane in HMI is not selectable</t>
  </si>
  <si>
    <t xml:space="preserve">1. Drive the vehicle through the parking lot lane(&lt;5Km/Hr) and try to select the small parking space(i.e. Parking Space which is not suitable for vehicle parking and does not fit for vehicle) via HMI
             a) Parallel Parking Space
             b) Angle Parking Space
             c) Perpendicular Parking Space </t>
  </si>
  <si>
    <t xml:space="preserve">1. The small parking space where the current vehicle not fits in for parking along the lane should not be selectable via HMI screen or the small parking space should not be displayed in HMI 
             a) Parallel Parking Space
             b) Angle Parking Space
             c) Perpendicular Parking Space </t>
  </si>
  <si>
    <t>Verify selecting parking space along the parking lot lane from HMI</t>
  </si>
  <si>
    <t xml:space="preserve">1. Drive the vehicle through the parking lot lane(&lt;5Km/Hr) and select the available parking space which the vehicle fits and the user want to park from HMI screen
             a) Parallel Parking Space
             b) Angle Parking Space
             c) Perpendicular Parking Space </t>
  </si>
  <si>
    <t xml:space="preserve">1. The available parking space in which the vehicle fits and user wants to park should be easily selectable from HMI screen
             a) Parallel Parking Space
             b) Angle Parking Space
             c) Perpendicular Parking Space </t>
  </si>
  <si>
    <t>Verify vehicle HMI gives option of 'Start Automatic Parking' &amp; 'Remote Parking' when user selects the parking space available for vehicle to park</t>
  </si>
  <si>
    <t>1. The vehicle HMI should display options
             a) Start Automatic Parking
             b) Remote Parking</t>
  </si>
  <si>
    <t>Verify selecting 'Start Automatic Parking' option from vehicle HMI after user select the parking space available for vehicle to park</t>
  </si>
  <si>
    <t>1. Drive the vehicle through the parking lot lane and select the available parking space which the vehicle fits and the user want to park from HMI screen
             a) Parallel Parking Space
             b) Angle Parking Space
             c) Perpendicular Parking Space 
2. Select 'Start Automatic Parking' and check whether Vehicle initiates parking the vehicle itself without any human intervention</t>
  </si>
  <si>
    <t>1. The vehicle HMI should display options
             a) Start Automatic Parking
             b) Remote Parking
2. Vehicle Automatic Parking to the selected parking space should be initaited without any human intervention and finally complete the manoeuvre</t>
  </si>
  <si>
    <t>Verify selecting 'Remote Parking' option from vehicle HMI after user select the parking space available for vehicle to park</t>
  </si>
  <si>
    <t>1. Drive the vehicle through the parking lot lane and select the available parking space which the vehicle fits and the user want to park from HMI screen
             a) Parallel Parking Space
             b) Angle Parking Space
             c) Perpendicular Parking Space 
2. Select 'Remote Parking' and check whether Remote Parking initiation will be handed over to My Bentley App</t>
  </si>
  <si>
    <t xml:space="preserve">1. The vehicle HMI should display options
             a) Start Automatic Parking
             b) Remote Parking
2. Selecting 'Remote Parking' should initiate handover to My Bentley App and a notification related to Remote Park Assist should be sent to mobile </t>
  </si>
  <si>
    <t>Verify vehicle remote parking via My Bentley App after selecting 'Remote Parking' option from vehicle HMI</t>
  </si>
  <si>
    <t>• In Vehicle Remote Park Assist(i.e. P with Steering Wheel Icon) button is activated
• One Key(Vehicle Key-1) is next to the vehicle 
• Automatic User Identification is done
• Bluetooth Connection with Vehicle is already established(i.e.  Bluetooth should be turned 'ON'  + Bluetooth permission must be granted)
• Location Services should be turned 'ON' / 'Set to Always' + Precise Location permission must be granted
• Windows &amp; Sunroof are opened</t>
  </si>
  <si>
    <t>1. Drive the vehicle through the parking lot lane(&lt;5Km/Hr) and select the available parking space which the vehicle fits and the user want to park from HMI screen
             a) Parallel Parking Space
             b) Angle Parking Space
             c) Perpendicular Parking Space 
2. Select 'Remote Parking' and check whether Remote Parking initiation will be handed over to My Bentley App
3. Driver get off from the vehicle along with key fob
4. Close the vehicle Door
5. Start the Remote Park Assist Function via My Bentley App or by clicking on the Remote Park Assist Notification displayed in Mobile
6. Click on 'START REMOTE PARKING' button
7. Perform Parking Maneuver ( i.e. Press and Hold 'P with Steering Icon' button to start the Maneuver) 
8. If vehicle position needs correction, Click on 'CORRECT POSITION / CORRECT' button followed  Press &amp; Hold on the adjustment maneuver 'Drive Forward' / 'Drive Backward' button in order to  perform the correction
9. Press &amp; Hold on 'CLOSE WINDOW' button under 'REMOTE PARKING - PARKING SUCCESSFULLY COMPLETED' screen 
10. Click on 'FINISH' button under 'REMOTE PARKING - PARKING SUCCESSFULLY COMPLETED' screen</t>
  </si>
  <si>
    <t>1. The vehicle HMI should display options
             a) Start Automatic Parking
             b) Remote Parking
2. Selecting 'Remote Parking' should initiate handover to My Bentley App and a notification related to Remote Park Assist should be sent to mobile 
3. Driver get off from the vehicle successfully
4. Vehicle Door should be completely closed
5. 'REMOTE PARKING - CONNECTION ESTABLISHED' Screen should be launched displaying relevant and applicable message(Ex : 'The vehicle key and the mobile device must be with you and may not be further away from the vehicle than 6m') along with 'START REMOTE PARKING' button
6. 'REMOTE PARKING - PARK THE VEHICLE' screen should be launched displaying
a) Vehicle Image
b) 'Retrieve' / 'Undo' button
c) Parking Maneuver button(i.e. P with Steering Icon)
d) 'Turn Off' button 
7. Parking Maneuver should be initiated and completed successfully without any issues 
             a) Once Manuever is completed, It should intimate the user via 'Finish Parking' / 'Complete Parking' popup with some relevant &amp; applicable message (Ex : 'Parking finished successfully.You can stop the engine or correct the parking position' / 'Parking finished successfully.Finish the process or correct the parking position')
             b) STOP ENGINE / FINISH button --&gt; Clicking on this button should stop the engine and finally intimate the user that Remote Parking is complete with 'Finish' button
             c) CORRECT POSITION / CORRECT button 
8. User should be able to correct the vehicle position without any issues and once the vehicle position is corrected and user stops the maneuvering of vehicle in the intended direction : 
             a.) It should stop and intimate the user that parking process is paused
             b.) Clicking on 'Turn Off' / 'Engine Off' button should display relevant &amp; applicable popup message(Ex : Do you want to finish the parking process? Stop the Engine or finish the process or continue parking' along with 'STOP' &amp; 'CONTINUE' button
             c.) Click on 'STOP' button : It should stop and intimate the user that parking maneuver is completed successfully under 'REMOTE PARKING - PARKING SUCCESSFULLY COMPLETED' screen
             d) It should switch off the engine
             e) 'FINISH' button : Clicking on it should close the 'REMOTE PARKING - PARKING SUCCESSFULLY COMPLETED' screen and focus should go to CAR REMOTE screen  
Note : In case if the below conditions are not met, then Warning relevant &amp; applicable Msg.(Ex : 'You have not successfully completed the parking maneuver.') should be displayed along with the warnings 
a) Doors not locked
b) Hand Brake not applied
c) Windows / Sunroof are open : If Windows / Sunroof is open then User will be provided with 'CLOSE WINDOW' button
(Note : Window status i.e. 'CLOSE WINDOW' button display will not be applicable for NAR region)
d) 'FINISH' button greyed out / not activated
9. Windows &amp; Sunroof should be closed without any issues and finally Maneuver Successfully Completed message should be displayed along with 'FINISH' button under 'REMOTE PARKING - PARKING SUCCESSFULLY COMPLETED' screen 
10. Clicking on 'FINISH' button should close the 'REMOTE PARKING - PARKING SUCCESSFULLY COMPLETED' screen and focus should go to CAR REMOTE screen</t>
  </si>
  <si>
    <t xml:space="preserve">Verify that 'maneuver - P' button(i.e. 'P with Steering Icon' button) is enabled and accessible in My Bentley App when user has selected the parking space in HMI </t>
  </si>
  <si>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</si>
  <si>
    <t xml:space="preserve">• In Vehicle Remote Park Assist(i.e. P with Steering Wheel Icon) button is activated
• Automatic User Identification is done
• Bluetooth Connection with Vehicle is already established(i.e.  Bluetooth should be turned 'ON'  + Bluetooth permission must be granted)
• Location Services should be turned 'ON' / 'Set to Always' + Precise Location permission must be granted
• Drive the vehicle through the parking lot lane(&lt;5Km/Hr) and select any of the available parking space in HMI
             a) Parallel Parking Space
             b) Angle Parking Space
             c) Perpendicular Parking Space 
• Stop and Exit from the vehicle
• The distance between the GPS position of the sender and receiver must be &lt;4m 
• One Key(Vehicle Key-1) is next to the vehicle </t>
  </si>
  <si>
    <t xml:space="preserve">1. In 'REMOTE PARKING - PARK THE VEHICLE' screen , Observe the 'maneuver - P'(i.e. 'P with Steering Icon') button when user has selected the parking space in HMI </t>
  </si>
  <si>
    <t xml:space="preserve">1. The 'maneuver - P'(i.e. 'P with Steering Icon') button in 'REMOTE PARKING - PARK THE VEHICLE' screen of My Bentley App should be enabled and accessible to user when the parking space for vehicle parking is already selected from HMI screen </t>
  </si>
  <si>
    <t>Verify Parallel parking via 'Remote Parking' feature in My Bentley App</t>
  </si>
  <si>
    <t xml:space="preserve">• Launch "My Bentley App" and go to "Remote Parking" screen
( My Bentley App --&gt; LOGIN OR REGISTER --&gt; Email --&gt; Enter valid email id --&gt; NEXT --&gt; Enter the Password --&gt; NEXT --&gt; Vehicle "DASHBOARD" screen --&gt;Click on "REMOTE PARKING" option under "CAR REMOTE" tab --&gt; Select "Start Remote Parking" button in CONNECTION ESTABLISHED screen )
Note : Free Parking Space next to vehicle parked will be taken as reference for parking  </t>
  </si>
  <si>
    <t xml:space="preserve">• In Vehicle Remote Park Assist(i.e. P with Steering Wheel Icon) button is activated
• Automatic User Identification is done
• Bluetooth Connection with Vehicle is already established(i.e.  Bluetooth should be turned 'ON'  + Bluetooth permission must be granted)
• Location Services should be turned 'ON' / 'Set to Always' + Precise Location permission must be granted
• Drive the vehicle(&lt;5Km/Hr) along the parking lot lane and select the available parallel parking space via HMI
• Select the 'Remote Parking' option after selecting the Parallel parking space via HMI
• Exit from the vehicle via Driver Door and close it  
• The distance between the GPS position of the sender and receiver must be &lt;4m 
• One Key(Vehicle Key-1) is next to the vehicle </t>
  </si>
  <si>
    <t>1. In 'REMOTE PARKING - PARK THE VEHICLE' screen , Keep pressing on 'maneuver - P'(i.e. 'P with Steering Icon') button continuously
2. Clearly check for the actions when vehicle reaches its final position</t>
  </si>
  <si>
    <t>1. The vehicle should automatically steer into the selected parallel parking space when the driver activates and monitors this function on their smartphone via My Bentley App
2. Once the vehicle has reached its final position : 
             a)  It should stop and intimate the user that parking maneuver is completed successfully under 'REMOTE PARKING - PARKING SUCCESSFULLY COMPLETED' screen
             b) It should switch off the engine
             c) 'FINISH' button : Clicking on it should close the 'REMOTE PARKING - PARKING SUCCESSFULLY COMPLETED' screen  
Note : In case if the below conditions are not met, then Warning relevant &amp; applicable Msg.(Ex : 'You have not successfully completed the parking maneuver.') should be displayed along with the warnings 
a) Doors not locked
b) Hand Brake not applied
c) Windows / Sunroof are open : If Windows / Sunroof is open then User will be provided with 'CLOSE WINDOW' buttons : Long press on 'CLOSE WINDOW' button should close the windows &amp; sunroof
(Note : Window status i.e. 'CLOSE WINDOW' button display will not be applicable for NAR region)
d) 'FINISH' button greyed out / not activated</t>
  </si>
  <si>
    <t>Verify pulling out the vehicle from parallel parking space via 'Remote Parking' feature in My Bentley App (Parallel Forward Right direction)</t>
  </si>
  <si>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parallel parking space
• The distance between the GPS position of the sender and receiver must be &lt;4m 
• One Key(Vehicle Key-1) is next to the vehicle </t>
  </si>
  <si>
    <t>1. In 'REMOTE PARKING - PRESS AND HOLD START BUTTON' screen 
a) Start Engine (i.e. Click on 'START / STOP' button) - Press until progress indicator is complete 
b) Select the pullout maneuver - Parallel Forward Right direction (i.e. Parallel Forward Right Pull Out direction) 
2. Now keep pressing on 'maneuver - P'(i.e. 'P with Steering Icon') button continuously</t>
  </si>
  <si>
    <t>1. The vehicle should start and automatically steer out of the parallel parking space in the selected direction(i.e. Parallel Forward Right Pull Out direction)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</si>
  <si>
    <t>Verify pulling out the vehicle from parallel parking space via 'Remote Parking' feature in My Bentley App (Parallel Forward Left direction)</t>
  </si>
  <si>
    <t>1. In 'REMOTE PARKING - PRESS AND HOLD START BUTTON' screen 
a) Start Engine (i.e. Click on 'START / STOP' button) - Press until progress indicator is complete
b) Select the pullout maneuver - Parallel Forward Left direction (i.e. Parallel Forward Left Pull Out direction) 
2. Now keep pressing on 'maneuver - P'(i.e. 'P with Steering Icon') button continuously</t>
  </si>
  <si>
    <t>1. The vehicle should start and automatically steer out of the parallel parking space in the selected direction(i.e. Parallel Forward Left Pull Out direction)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</si>
  <si>
    <t>Verify pulling out the vehicle from parking space via 'Remote Parking' feature in My Bentley App (Straight Forward direction)</t>
  </si>
  <si>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 The distance between the GPS position of the sender and receiver must be &lt;4m 
• One Key(Vehicle Key-1) is next to the vehicle </t>
  </si>
  <si>
    <t>1. In 'REMOTE PARKING - PRESS AND HOLD START BUTTON' screen 
a) Start Engine (i.e. Click on 'START / STOP' button) - Press until progress indicator is complete
b) Select the pullout maneuver - Straight Forward Drive Out direction(i.e. Straight Forward Pull Out direction) 
2. Now keep pressing on 'maneuver - P'(i.e. 'P with Steering Icon') button continuously</t>
  </si>
  <si>
    <t>1. The vehicle should start and automatically steer out of the parking space in the selected direction(i.e. Straight Forward Pull Out direction) when the driver activates and monitors this function on their smartphone via My Bentley App
2. The vehicle will move Straight Forward [max of 10 meter] and finally displays 'REMOTE PARKING - PARKING WAS INTERRUPTED' screen when tried straight forward pulling out from an Parking Space : 
             a) Relevant &amp; Applicable message should be displayed about parking interruption
             b) 'FINISH' button : Clicking on it should close the 'REMOTE PARKING - PARKING WAS INTERRUPTED' screen and focus should go to CAR REMOTE screen</t>
  </si>
  <si>
    <t>Verify pulling out the vehicle from parking space via 'Remote Parking' feature in My Bentley App (Straight Backward direction)</t>
  </si>
  <si>
    <t>1. In 'REMOTE PARKING - PRESS AND HOLD START BUTTON' screen 
a) Start Engine (i.e. Click on 'START / STOP' button) - Press until progress indicator is complete
b) Select the pullout maneuver - Straight Backward Drive Out direction(i.e. Straight Backward Pull Out direction) 
2. Now keep pressing on 'maneuver - P'(i.e. 'P with Steering Icon') button continuously</t>
  </si>
  <si>
    <t>1. The vehicle should start and automatically steer out of the parking space in the selected direction(i.e. Straight Backward Pull Out direction) when the driver activates and monitors this function on their smartphone via My Bentley App
2. The vehicle will move Straight Backward [max of 10 meter] and finally displays 'REMOTE PARKING - PARKING WAS INTERRUPTED' screen when tried straight backward pulling out from an Parking Space : 
             a) Relevant &amp; Applicable message should be displayed about parking interruption
             b) 'FINISH' button : Clicking on it should close the 'REMOTE PARKING - PARKING WAS INTERRUPTED' screen and focus should go to CAR REMOTE screen</t>
  </si>
  <si>
    <t>Verify angle parking via 'Remote Parking' feature in My Bentley App</t>
  </si>
  <si>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In Vehicle Park Assist button is activated
• Drive the vehicle(&lt;5Km/Hr) along the parking lot lane and select the available angle parking space via HMI
• Exit from the vehicle after selecting the angle parking space via HMI
• The distance between the GPS position of the sender and receiver must be &lt;4m 
• One Key(Vehicle Key-1) is next to the vehicle </t>
  </si>
  <si>
    <t>1. The vehicle should automatically steer into the selected angle parking space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PARKING SUCCESSFULLY COMPLETED' screen
             b) It should switch off the engine
             c) 'FINISH' button : Clicking on it should close the 'REMOTE PARKING - PARKING SUCCESSFULLY COMPLETED' screen  
Note : In case if the below conditions are not met, then Warning relevant &amp; applicable Msg.(Ex : 'You have not successfully completed the parking maneuver.') should be displayed along with the warnings 
a) Doors not locked
b) Hand Brake not applied
c) Windows / Sunroof are open : If Windows / Sunroof is open then User will be provided with 'CLOSE WINDOW' buttons : Long press on 'CLOSE WINDOW' button should close the windows &amp; sunroof
(Note : Window status i.e. 'CLOSE WINDOW' button display will not be applicable for NAR region)
d) 'FINISH' button greyed out / not activated- P, it should stop and intimate the user</t>
  </si>
  <si>
    <t>Verify pulling out the vehicle from angle parking space via 'Remote Parking' feature in My Bentley App(Angle Park Straight Forward Pull Out direction)</t>
  </si>
  <si>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angle parking space
• The distance between the GPS position of the sender and receiver must be &lt;4m 
• One Key(Vehicle Key-1) is next to the vehicle </t>
  </si>
  <si>
    <t>1. In 'REMOTE PARKING - PRESS AND HOLD START BUTTON' screen 
a) Start Engine (i.e. Click on 'START / STOP' button) - Press until progress indicator is complete
b) Select the pullout maneuver - Angle Park Drive Out direction(i.e. Angle Park  Straight Forward Pull Out direction) 
2. Now keep pressing on 'maneuver - P'(i.e. 'P with Steering Icon') button continuously</t>
  </si>
  <si>
    <t>1. The vehicle should start and automatically steer out of the angle parking space in the selected direction(i.e. Angle Park Straight Forward Pull Out direction) when the driver activates and monitors this function on their smartphone via My Bentley App
2. The vehicle will move Straight Forward [max of 10 meter] and finally displays 'REMOTE PARKING - PARKING WAS INTERRUPTED' screen when tried straight forward pulling out from an Angle Parking Space : 
             a) Relevant &amp; Applicable message should be displayed about parking interruption
             b) 'FINISH' button : Clicking on it should close the 'REMOTE PARKING - PARKING WAS INTERRUPTED' screen and focus should go to CAR REMOTE screen</t>
  </si>
  <si>
    <t>Verify pulling out the vehicle from angle parking space via 'Remote Parking' feature in My Bentley App(Angle Park Straight Backward Pull Out direction)</t>
  </si>
  <si>
    <t>1. In 'REMOTE PARKING - PRESS AND HOLD START BUTTON' screen 
a) Start Engine (i.e. Click on 'START / STOP' button) - Press until progress indicator is complete
b) Select the pullout maneuver - Angle Park Drive Out direction(i.e. Angle Park  Straight Backward Pull Out direction) 
2. Now keep pressing on 'maneuver - P'(i.e. 'P with Steering Icon') button continuously</t>
  </si>
  <si>
    <t>1. The vehicle should start and automatically steer out of the angle parking space in the selected direction(i.e. Angle Park Straight Backward Pull Out direction) when the driver activates and monitors this function on their smartphone via My Bentley App
2. The vehicle will move Straight Backward [max of 10 meter] and finally displays 'REMOTE PARKING - PARKING WAS INTERRUPTED' screen when tried straight backward pulling out from an Angle Parking Space : 
             a) Relevant &amp; Applicable message should be displayed about parking interruption
             b) 'FINISH' button : Clicking on it should close the 'REMOTE PARKING - PARKING WAS INTERRUPTED' screen and focus should go to CAR REMOTE screen</t>
  </si>
  <si>
    <t>Verify Perpendicular Forward Left parking via 'Remote Parking' feature in My Bentley App (Perpendicular Forward Left direction)</t>
  </si>
  <si>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In Vehicle Park Assist(i.e. P with Steering Wheel Icon) button is activated
• Drive the vehicle(&lt;5Km/Hr) along the parking lot lane and select the available perpendicular forward left parking space via HMI
• Exit from the vehicle after selecting the Perpendicular Forward Left parking space via HMI
• The distance between the GPS position of the sender and receiver must be &lt;4m 
• One Key(Vehicle Key-1) is next to the vehicle </t>
  </si>
  <si>
    <t>1. The vehicle should automatically steer into the selected perpendicular forward left parking space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PARKING SUCCESSFULLY COMPLETED' screen
             b) It should switch off the engine
             c) 'FINISH' button : Clicking on it should close the 'REMOTE PARKING - PARKING SUCCESSFULLY COMPLETED' screen  
Note : In case if the below conditions are not met, then Warning relevant &amp; applicable Msg.(Ex : 'You have not successfully completed the parking maneuver.') should be displayed along with the warnings 
a) Doors not locked
b) Hand Brake not applied
c) Windows / Sunroof are open : If Windows / Sunroof is open then User will be provided with 'CLOSE WINDOW' buttons : Long press on 'CLOSE WINDOW' button should close the windows &amp; sunroof
(Note : Window status i.e. 'CLOSE WINDOW' button display will not be applicable for NAR region)
d) 'FINISH' button greyed out / not activated- P, it should stop and intimate the user</t>
  </si>
  <si>
    <t>Verify Perpendicular Forward Right parking via 'Remote Parking' feature in My Bentley App (Perpendicular Forward Right direction)</t>
  </si>
  <si>
    <t>• Automatic User Identification is done
• Bluetooth Connection with Vehicle is already established(i.e.  Bluetooth should be turned 'ON'  + Bluetooth permission must be granted)
• Location Services should be turned 'ON' / 'Set to Always' + Precise Location permission must be granted
• In Vehicle Park Assist(i.e. P with Steering Wheel Icon) button is activated
• Drive the vehicle(&lt;5Km/Hr) along the parking lot lane and select the available perpendicular forward right parking space via HMI
• Exit from the vehicle after selecting the Perpendicular Forward Right parking space via HMI
• The distance between the GPS position of the sender and receiver must be &lt;4m 
• One Key(Vehicle Key-1) is next to the vehicle</t>
  </si>
  <si>
    <t>1. The vehicle should automatically steer into the selected perpendicular forward right parking space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PARKING SUCCESSFULLY COMPLETED' screen
             b) It should switch off the engine
             c) 'FINISH' button : Clicking on it should close the 'REMOTE PARKING - PARKING SUCCESSFULLY COMPLETED' screen  
Note : In case if the below conditions are not met, then Warning relevant &amp; applicable Msg.(Ex : 'You have not successfully completed the parking maneuver.') should be displayed along with the warnings 
a) Doors not locked
b) Hand Brake not applied
c) Windows / Sunroof are open : If Windows / Sunroof is open then User will be provided with 'CLOSE WINDOW' buttons : Long press on 'CLOSE WINDOW' button should close the windows &amp; sunroof
(Note : Window status i.e. 'CLOSE WINDOW' button display will not be applicable for NAR region)
d) 'FINISH' button greyed out / not activated- P, it should stop and intimate the user</t>
  </si>
  <si>
    <t>Verify Perpendicular Backward Left parking via 'Remote Parking' feature in My Bentley App (Perpendicular Backward Left direction)</t>
  </si>
  <si>
    <t>• Automatic User Identification is done
• Bluetooth Connection with Vehicle is already established(i.e.  Bluetooth should be turned 'ON'  + Bluetooth permission must be granted)
• Location Services should be turned 'ON' / 'Set to Always' + Precise Location permission must be granted
• In Vehicle Park Assist(i.e. P with Steering Wheel Icon) button is activated
• Drive the vehicle(&lt;5Km/Hr) along the parking lot lane and select the available perpendicular backward left parking space via HMI
• Exit from the vehicle after selecting the Perpendicular Backward Left parking space via HMI
• The distance between the GPS position of the sender and receiver must be &lt;4m 
• One Key(Vehicle Key-1) is next to the vehicle</t>
  </si>
  <si>
    <t>1. The vehicle should automatically steer into the selected perpendicular backward left parking space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PARKING SUCCESSFULLY COMPLETED' screen
             b) It should switch off the engine
             c) 'FINISH' button : Clicking on it should close the 'REMOTE PARKING - PARKING SUCCESSFULLY COMPLETED' screen  
Note : In case if the below conditions are not met, then Warning relevant &amp; applicable Msg.(Ex : 'You have not successfully completed the parking maneuver.') should be displayed along with the warnings 
a) Doors not locked
b) Hand Brake not applied
c) Windows / Sunroof are open : If Windows / Sunroof is open then User will be provided with 'CLOSE WINDOW' buttons : Long press on 'CLOSE WINDOW' button should close the windows &amp; sunroof
(Note : Window status i.e. 'CLOSE WINDOW' button display will not be applicable for NAR region)
d) 'FINISH' button greyed out / not activated- P, it should stop and intimate the user</t>
  </si>
  <si>
    <t>Verify Perpendicular Backward Right parking via 'Remote Parking' feature in My Bentley App (Perpendicular Backward Right direction)</t>
  </si>
  <si>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In Vehicle Park Assist(i.e. P with Steering Wheel Icon) button is activated
• Drive the vehicle(&lt;5Km/Hr) along the parking lot lane and select the available perpendicular backward right parking space via HMI
• Exit from the vehicle after selecting the Perpendicular Backward Right parking space via HMI
• The distance between the GPS position of the sender and receiver must be &lt;4m 
• One Key(Vehicle Key-1) is next to the vehicle </t>
  </si>
  <si>
    <t>1. The vehicle should automatically steer into the selected perpendicular backward right parking space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PARKING SUCCESSFULLY COMPLETED' screen
             b) It should switch off the engine
             c) 'FINISH' button : Clicking on it should close the 'REMOTE PARKING - PARKING SUCCESSFULLY COMPLETED' screen  
Note : In case if the below conditions are not met, then Warning relevant &amp; applicable Msg.(Ex : 'You have not successfully completed the parking maneuver.') should be displayed along with the warnings 
a) Doors not locked
b) Hand Brake not applied
c) Windows / Sunroof are open : If Windows / Sunroof is open then User will be provided with 'CLOSE WINDOW' buttons : Long press on 'CLOSE WINDOW' button should close the windows &amp; sunroof
(Note : Window status i.e. 'CLOSE WINDOW' button display will not be applicable for NAR region)
d) 'FINISH' button greyed out / not activated- P, it should stop and intimate the user</t>
  </si>
  <si>
    <t>Verify pulling out the vehicle from perpendicular parking space via 'Remote Parking' feature in My Bentley App(Perpendicular Forward Left Pull Out direction)</t>
  </si>
  <si>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perpendicular parking space
• The distance between the GPS position of the sender and receiver must be &lt;4m 
• One Key(Vehicle Key-1) is next to the vehicle </t>
  </si>
  <si>
    <t>1. In 'REMOTE PARKING - PRESS AND HOLD START BUTTON' screen 
a) Start Engine (i.e. Click on 'START / STOP' button) - Press until progress indicator is complete
b) Select the pullout maneuver - Perpendicular Park Drive Out direction(i.e. Perpendicular Forward Left Pull Out direction) 
2. Now keep pressing on 'maneuver - P'(i.e. 'P with Steering Icon') button continuously</t>
  </si>
  <si>
    <t>1. The vehicle should start and automatically steer out of the perpendicular parking space in the selected direction(i.e. Perpendicular Forward Left Pull Out direction)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</si>
  <si>
    <t>Verify pulling out the vehicle from perpendicular parking space via 'Remote Parking' feature in My Bentley App(Perpendicular Forward Right Pull Out direction)</t>
  </si>
  <si>
    <t>1. In 'REMOTE PARKING - PRESS AND HOLD START BUTTON' screen 
a) Start Engine (i.e. Click on 'START / STOP' button) - Press until progress indicator is complete
b) Select the pullout maneuver - Perpendicular Park Drive Out direction(i.e. Perpendicular Forward Right Pull Out direction) 
2. Now keep pressing on 'maneuver - P'(i.e. 'P with Steering Icon') button continuously</t>
  </si>
  <si>
    <t>1. The vehicle should start and automatically steer out of the perpendicular parking space in the selected direction(i.e. Perpendicular Forward Right Pull Out direction)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</si>
  <si>
    <t xml:space="preserve">Verify the 'Retrieve' button functionality in 'Remote Parking' feature of My Bentley App </t>
  </si>
  <si>
    <t>•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perpendicular parking space
• The distance between the GPS position of the sender and receiver must be &lt;4m 
• One Key(Vehicle Key-1) is next to the vehicle</t>
  </si>
  <si>
    <t>1. In 'REMOTE PARKING - PRESS AND HOLD START BUTTON' screen 
a) Start Engine (i.e. Click on 'START / STOP' button) - Press until progress indicator is complete
b) Select either of the Drive Out / Pull Out direction(i.e. Straight Forward , Straight Backward , Perpendicular Forward Right , Perpendicular Forward Left)
c) Now keep pressing on 'maneuver - P'(i.e. 'P with Steering Icon') button continuously 
2. While vehicle maneuver - Ping is in progress, Release the 'maneuver - P'(i.e. 'P with Steering Icon') button
3. Once the maneuver is stopped,Within 45 Seconds Keep pressing the 'Retrieve'(i.e. 'Back Icon - Retrieve') button continously &amp; Observe</t>
  </si>
  <si>
    <t xml:space="preserve">1. Notice that the below mentioned vehicle pull out starts and is in progress
a) Straight Forward 
b) Straight Backward 
c) Perpendicular Forward Right 
d) Perpendicular Forward Left
2. Once the 'maneuver - P'(i.e. 'P with Steering Icon') button is released, the vehicle should stop the maneuver - Ping
3. Vehicle should start moving back to its start position where the maneuver was initiated from and should finally stop once it reaches </t>
  </si>
  <si>
    <t>Verify parking the vehicle inside garage via 'Remote Parking' feature in My Bentley App</t>
  </si>
  <si>
    <t xml:space="preserve">•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
Note : Garage Free Parking Space next to vehicle parked will be taken as reference for parking  </t>
  </si>
  <si>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The garage space is big enough to fit the vehicle 
• In Vehicle Park Assist button is activated
• Drive the vehicle(&lt;5Km/Hr) , So that the garage space is detected and displayed in HMI screen
• The garage space is selected from HMI and 'Remote Parking' initiation is done to be used by My Bentley App 
• Exit from the vehic le
• The distance between the GPS position of the sender and receiver must be &lt;4m 
• One Key(Vehicle Key-1) is next to the vehicle </t>
  </si>
  <si>
    <t>1. The vehicle should automatically steer inside to the garage parking space when the driver activates and monitors this function on their smartphone via My Bentley App
2. Once the vehicle has completed its maneuver i.e. the  vehicle has reached its final position : 
             a)  It should stop and intimate the user that parking maneuver is completed successfully under 'REMOTE PARKING - PARKING SUCCESSFULLY COMPLETED' screen
             b) It should switch off the engine
             c) 'FINISH' button : Clicking on it should close the 'REMOTE PARKING - PARKING SUCCESSFULLY COMPLETED' screen  
Note : In case if the below conditions are not met, then Warning relevant &amp; applicable Msg.(Ex : 'You have not successfully completed the parking maneuver.') should be displayed along with the warnings 
a) Doors not locked
b) Hand Brake not applied
c) Windows / Sunroof are open : If Windows / Sunroof is open then User will be provided with 'CLOSE WINDOW' buttons : Long press on 'CLOSE WINDOW' button should close the windows &amp; sunroof
(Note : Window status i.e. 'CLOSE WINDOW' button display will not be applicable for NAR region)
d) 'FINISH' button greyed out / not activated- P, it should stop and intimate the user</t>
  </si>
  <si>
    <t>Verify pulling out the vehicle from garage via 'Remote Parking' feature in My Bentley App</t>
  </si>
  <si>
    <t>• Launch "My Bentley App" and go to "Remote Parking" screen
( My Bentley App --&gt; LOGIN OR REGISTER --&gt; Email --&gt; Enter valid email id --&gt; NEXT --&gt; Enter the Password --&gt; NEXT --&gt; Vehicle "DASHBOARD" screen --&gt; Click on "REMOTE PARKING" option under "CAR REMOTE" tab --&gt; Select "Start Remote Parking" button in CONNECTION ESTABLISHED screen )</t>
  </si>
  <si>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garage
• The distance between the GPS position of the sender and receiver must be &lt;4m 
• One Key(Vehicle Key-1) is next to the vehicle </t>
  </si>
  <si>
    <t>1. In 'REMOTE PARKING - PRESS AND HOLD START BUTTON' screen 
a) Start Engine (i.e. Click on 'START / STOP' button) - Press until progress indicator is complete
b) Select the pullout maneuver - 'Straight Forward' / 'Straight Backward' direction(i.e. Straight Forward / Straight Backward direction) 
2. Now keep pressing on 'maneuver - P'(i.e. 'P with Steering Icon') button continuously</t>
  </si>
  <si>
    <t>1. The vehicle should start and automatically steer out of the  garage space when the driver activates and monitors this function on their smartphone via My Bentley App
2. The vehicle will move Straight Forward / Straight Backward [max of 10 meter] and finally displays 'REMOTE PARKING - PARKING WAS INTERRUPTED' screen when tried straight forward / straight backward pulling out from an Parking Space : 
             a) Relevant &amp; Applicable message should be displayed about parking interruption
             b) 'FINISH' button : Clicking on it should close the 'REMOTE PARKING - PARKING WAS INTERRUPTED' screen and focus should go to CAR REMOTE screen</t>
  </si>
  <si>
    <t>Verify moving out of range while maneuver - Ping in progress in My Bentley App</t>
  </si>
  <si>
    <t xml:space="preserve">• "Remote Parking" screen is launched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</si>
  <si>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a) Parallel Parking Space
             b) Angle Parking Space
             c) Perpendicular Parking Space 
• The distance between the GPS position of the sender and receiver must be &lt;4m 
• One Key(Vehicle Key-1) is next to the vehicle </t>
  </si>
  <si>
    <t>1. In 'REMOTE PARKING - PRESS AND HOLD START BUTTON' screen 
a) Start Engine (i.e. Click on 'START / STOP' button) - Press until progress indicator is complete
b) Select the pullout maneuver - 'Forward Right' / 'Forward Left' directions
2. While vehicle maneuver - Ping is in progress, Go out of range from vehicle(i.e. The distance between the GPS position of the sender and receiver must be &gt;6m) --&gt; Observe
3. Now come in range to vehicle(i.e. The distance between the GPS position of the sender and receiver must be &lt;6m) within 45 seconds and start pressing the 'maneuver - P'(i.e. 'P with Steering Icon') button continuously</t>
  </si>
  <si>
    <t>1. The vehicle should start and automatically steer out of the parking space when the driver activates and monitors this function on their smartphone via My Bentley App
             a) Parallel Parking Space
             b) Angle Parking Space
             c) Perpendicular Parking Space 
2. Once the user is out of range(i.e. The distance between the GPS position of the sender and receiver must be &gt;6m), the vehicle should stop the maneuver - Ping and should display as warning relevant &amp; applicable message(Ex : 'Vehicle out of range, maneuver paused. Please move closer to the vehicle when safe to do so.')
3a. When in range with vehicle within 45 seconds (i.e. The distance between the GPS position of the sender and receiver must be &lt;6m)maneuver - Ping of vehicle should start once again from where it was left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</si>
  <si>
    <t>Verify releasing 'maneuver - P'(i.e. P with Steering Wheel Icon) button while maneuver - Ping in progress in My Bentley App</t>
  </si>
  <si>
    <t>1. In 'REMOTE PARKING - PRESS AND HOLD START BUTTON' screen 
a) Start Engine (i.e. Click on 'START / STOP' button) - Press until progress indicator is complete
b) Select the pullout maneuver - 'Forward Right' / 'Forward Left' directions
2. While vehicle maneuver - Ping is in progress, Release the 'maneuver - P'(i.e. 'P with Steering Icon') button
3. Within 45 Secs, Now again keep pressing on 'maneuver - P'(i.e. 'P with Steering Icon') button continuously</t>
  </si>
  <si>
    <t>1. The vehicle should start and automatically steer out of the parking space when the driver activates and monitors this function on their smartphone via My Bentley App
             a) Parallel Parking Space
             b) Angle Parking Space
             c) Perpendicular Parking Space
2. Once the 'maneuver - P'(i.e. 'P with Steering Icon') button is released, the vehicle should pause the maneuver - Ping
3a. Maneuver - Ping of vehicle should start once again from where it was left when 'maneuver - P'(i.e. 'P with Steering Icon') button is pressed within 45 seconds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</si>
  <si>
    <t>Verify maneuver - Ping of vehicle stops when it detects any obstruction along the maneuver - P path during maneuvering process</t>
  </si>
  <si>
    <t>1. In 'REMOTE PARKING - PRESS AND HOLD START BUTTON' screen 
a) Start Engine (i.e. Click on 'START / STOP' button) - Press until progress indicator is complete
b) Select the pullout maneuver - 'Forward Right' / 'Forward Left' directions
2. While vehicle maneuver - Ping is in progress, Place an obstruction along the maneuver - P path and Observe
3. Within 45 Secs clear the obstruction along the maneuver - P path , Now again keep pressing on 'maneuver - P'(i.e. 'P with Steering Icon') button continuously</t>
  </si>
  <si>
    <t>1. The vehicle should start and automatically steer out of the parking space when the driver activates and monitors this function on their smartphone via My Bentley App
             a) Parallel Parking Space
             b) Angle Parking Space
             c) Perpendicular Parking Space 
2. Once the vehicle detects obstruction along the maneuver - P path, it should stop the maneuver - Ping process until unless the obstruction is cleared even though the 'maneuver - P'(i.e. 'P with Steering Icon') button is continously pressed
3a. Once the obstruction is cleared within 45 Secs, Maneuver - Ping of vehicle should start once again from where it was left when 'maneuver - P'(i.e. 'P with Steering Icon') button is pressed continously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</si>
  <si>
    <t>Verify maneuver - Ping of vehicle stops when it detects two keys are present near to vehicle during maneuvering process</t>
  </si>
  <si>
    <t xml:space="preserve">• " Remote Parking" screen is launched
( My Bentley App --&gt; LOGIN OR REGISTER --&gt; Email --&gt; Enter valid email id --&gt; NEXT --&gt; Enter the Password --&gt; NEXT --&gt; Vehicle "DASHBOARD" screen --&gt; Click on "REMOTE PARKING" option under "CAR REMOTE" tab --&gt; Select "Start Remote Parking" button in CONNECTION ESTABLISHED screen )
Note : Free Parking Space next to vehicle parked will be taken as reference for parking  </t>
  </si>
  <si>
    <t>1. In 'REMOTE PARKING - PRESS AND HOLD START BUTTON' screen 
a) Start Engine (i.e. Click on 'START / STOP' button) - Press until progress indicator is complete
b) Select the pullout maneuver - 'Forward Right' / 'Forward Left' directions
2. While vehicle maneuver - Ping is in progress, the Second Key(Vehicle Key-2) of the vehicle is brought next to the vehicle(i.e. 'Vehicle Key-1' &amp; 'Vehicle Key-2' are next to the vehicle)--&gt; Observe
3. Now takeout Second Key(Vehicle Key-2) of the vehicle is taken out of range of vehicle(i.e. The distance between the GPS position of the sender and receiver must be &gt;6m) within 45 seconds and start pressing the 'maneuver - P'(i.e. 'P with Steering Icon') button continuously</t>
  </si>
  <si>
    <t>1. The vehicle should start and automatically steer out of the parking space when the driver activates and monitors this function on their smartphone via My Bentley App
             a) Parallel Parking Space
             b) Angle Parking Space
             c) Perpendicular Parking Space 
2. Once the Second Key(Vehicle Key-2) of the vehicle is brought next to the vehicle(i.e. 'Vehicle Key-1' &amp; 'Vehicle Key-2' are next to the vehicle), the vehicle should stop the maneuver - Ping
3a. When the Second Key(Vehicle Key-2) of the vehicle is taken out of range of vehicle within 45 seconds (i.e. The distance between the GPS position of the sender and receiver must be &gt;6m)maneuver - Ping of vehicle should start once again from where it was left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</si>
  <si>
    <t>Verify maneuver - Ping of vehicle stops when it detects any of the doors or boot is open during maneuvering process</t>
  </si>
  <si>
    <t>•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a) Parallel Parking Space
             b) Angle Parking Space
             c) Perpendicular Parking Space 
• The distance between the GPS position of the sender and receiver must be &lt;4m 
• One Key(Vehicle Key-1) is next to the vehicle 
• One of the Passenger or Another Person is seated inside the vehicle</t>
  </si>
  <si>
    <t>1. In 'REMOTE PARKING - PRESS AND HOLD START BUTTON' screen 
a) Start Engine (i.e. Click on 'START / STOP' button) - Press until progress indicator is complete
b) Select the pullout maneuver - 'Forward Right' / 'Forward Left' directions
2. While vehicle maneuver - Ping is in progress, Try to open any of the Doors or the Boot(i.e. Ask the Passenger to open any of the vehicle doors or Boot) --&gt; Observe
3. Now close the vehicle doors or Boot
a) Click on 'REMOTE PARKING' option under 'CAR REMOTE' tab --&gt; Select 'START REMOTE PARKING' button in CONNECTION ESTABLISHED screen --&gt; Click on 'START / STOP' button in 'REMOTE PARKING - PRESS AND HOLD START BUTTON' screen --&gt; Select the pullout maneuver - 'Forward Right' / 'Forward Left' directions</t>
  </si>
  <si>
    <t>1. The vehicle should start and automatically steer out of the parking space when the driver activates and monitors this function on their smartphone via My Bentley App
                          a) Parallel Parking Space
                          b) Angle Parking Space
                          c) Perpendicular Parking Space 
2. Once the Door or Boot of the vehicle is opened, the vehicle should stop the maneuver - Ping and should :
a) Turn Off the Engine 
b) 'REMOTE PARKING - PARKING WAS INTERRUPTED' Screen should be displayed  
b) Relevant and Applicable message related to Parking Interruption should be displayed 
c) 'FINISH' button should be displayed : Clicking on it should take focus back to CAR REMOTE screen
3a. After closing the doors or Boot of the vehicle, Pull Out maneuver of vehicle should start once again in the selected direction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</si>
  <si>
    <t>Verify maneuver - Ping of vehicle stops when it detects manual intervention of Brakes / Accelerating / Gears changing / Pressing Clamps during maneuvering process</t>
  </si>
  <si>
    <t>1. In 'REMOTE PARKING - PRESS AND HOLD START BUTTON' screen 
a) Start Engine (i.e. Click on 'START / STOP' button) - Press until progress indicator is complete
b) Select the pullout maneuver - 'Forward Right' / 'Forward Left' directions
2. While vehicle maneuver - Ping is in progress, Try to do manual intervention on Brakes / Accelerating / Gears changing / Pressing Clamps (i.e. Ask the Passenger to press Brake / Acceleration / Clamp or change Gears) --&gt; Observe
3. Now make sure that there is no further manual intervention on Brake / Acceleration / Clamps or Change Gears is done
a) Click on 'REMOTE PARKING' option under 'CAR REMOTE' tab --&gt; Select 'START REMOTE PARKING' button in CONNECTION ESTABLISHED screen --&gt; Click on 'START / STOP' button in 'REMOTE PARKING - PRESS AND HOLD START BUTTON' screen --&gt; Select the pullout maneuver - 'Forward Right' / 'Forward Left' directions</t>
  </si>
  <si>
    <t>1. The vehicle should start and automatically steer out of the parking space when the driver activates and monitors this function on their smartphone via My Bentley App
             a) Parallel Parking Space
             b) Angle Parking Space
             c) Perpendicular Parking Space 
2. Once the  manual intervention on Brakes / Accelerating / Gears changing / Pressing Clamps is done, the vehicle should stop the maneuver - Ping
a) Turn Off the Engine 
b) 'REMOTE PARKING - PARKING WAS INTERRUPTED' Screen should be displayed  
b) Relevant and Applicable message related to Parking Interruption should be displayed 
c) 'FINISH' button should be displayed : Clicking on it should take focus back to CAR REMOTE screen
3a. Pull Out maneuver of vehicle should start once again in the selected direction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</si>
  <si>
    <t>Verify maneuver - Ping of vehicle stops when it detects manual intervention of Hard Keys (i.e. 'Start/Stop' , 'Parking Brake') / Steering Wheel during maneuvering process</t>
  </si>
  <si>
    <t>1. In 'REMOTE PARKING - PRESS AND HOLD START BUTTON' screen 
a) Start Engine (i.e. Click on 'START / STOP' button) - Press until progress indicator is complete
b) Select the pullout maneuver - 'Forward Right' / 'Forward Left' directions
2. While vehicle maneuver - Ping is in progress, Try to do manual intervention on 'Start/Stop' / 'Parking Brake' hard keys / 'Steering Wheel' (i.e. Ask the Passenger to press 'Start/Stop' hardkey or pull the 'Parking Brake' hardkey or intervene the 'Steering Wheel' ) --&gt; Observe
3. Now make sure that there is no further manual intervention on 'Steering Wheel' or 'Start/Stop' / 'Parking Brake' hard keys
a) Click on 'REMOTE PARKING' option under 'CAR REMOTE' tab --&gt; Select 'START REMOTE PARKING' button in CONNECTION ESTABLISHED screen --&gt; Click on 'START / STOP' button in 'REMOTE PARKING - PRESS AND HOLD START BUTTON' screen --&gt; Select the pullout maneuver - 'Forward Right' / 'Forward Left' directions</t>
  </si>
  <si>
    <t>1. The vehicle should start and automatically steer out of the parking space when the driver activates and monitors this function on their smartphone via My Bentley App
             a) Parallel Parking Space
             b) Angle Parking Space
             c) Perpendicular Parking Space 
2. Once the  manual intervention on 'Start/Stop' / 'Parking Brake' hard keys or manual intervention on 'Steering Wheel' is done , the vehicle should stop the maneuver - Ping
a) Turn Off the Engine 
b) 'REMOTE PARKING - PARKING WAS INTERRUPTED' Screen should be displayed  
b) Relevant and Applicable message related to Parking Interruption should be displayed 
c) 'FINISH' button should be displayed : Clicking on it should take focus back to CAR REMOTE screen
3a. Pull Out maneuver of vehicle should start once again in the selected direction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</si>
  <si>
    <t>Verify maneuver - Ping of vehicle stops when 'Remote Lock' / 'Remote Unlock' / 'Boot Unlock' button via Vehicle Key-1(Key Fob) is pressed during maneuvering process</t>
  </si>
  <si>
    <t>1. In 'REMOTE PARKING' screen , Keep pressing on 'maneuver - P'(i.e. 'P with Steering Icon') button continuously
2. While vehicle maneuver - Ping is in progress, Press 'Remote Lock' / 'Remote Unlock' / 'Boot Unlock' button via Vehicle Key-1(Key Fob) --&gt; Observe
3. Now make sure that no 'Remote Lock' / 'Remote Unlock' / 'Boot Unlock' button is pressed
a) Click on 'REMOTE PARKING' option under 'CAR REMOTE' tab --&gt; Select 'START REMOTE PARKING' button in CONNECTION ESTABLISHED screen --&gt; Click on 'START / STOP' button in 'REMOTE PARKING - PRESS AND HOLD START BUTTON' screen --&gt; Select the pullout maneuver - 'Forward Right' / 'Forward Left' directions</t>
  </si>
  <si>
    <t>1. The vehicle should start and automatically steer out of the parking space when the driver activates and monitors this function on their smartphone via My Bentley App
             a) Parallel Parking Space
             b) Angle Parking Space
             c) Perpendicular Parking Space 
2. Once the 'Remote Lock' / 'Remote Unlock' / 'Boot Unlock' button via Vehicle Key-1-Key Fob, the vehicle should stop the maneuver - Ping
a) Turn Off the Engine 
b) 'REMOTE PARKING - PARKING WAS INTERRUPTED' Screen should be displayed  
b) Relevant and Applicable message related to Parking Interruption should be displayed 
c) 'FINISH' button should be displayed : Clicking on it should take focus back to CAR REMOTE screen
3a. Pull Out maneuver of vehicle should start once again in the selected direction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</si>
  <si>
    <t>Verify maneuver - Ping of vehicle stops when it detects crossing traffic during maneuvering process</t>
  </si>
  <si>
    <t>1. In 'REMOTE PARKING' screen , Keep pressing on 'maneuver - P'(i.e. 'P with Steering Icon') button continuously
2. While vehicle maneuver - Ping is in progress, Encounter a crossing traffic --&gt; Observe
3. Now within 45 seconds(i.e. Making sure that there is no crossing traffic), Start pressing the 'maneuver - P'(i.e. 'P with Steering Icon') button continuously</t>
  </si>
  <si>
    <t>1. The vehicle should start and automatically steer out of the parking space when the driver activates and monitors this function on their smartphone via My Bentley App
             a) Parallel Parking Space
             b) Angle Parking Space
             c) Perpendicular Parking Space 
2. Once crossing traffic is encountered while maneuvering, the vehicle should stop the maneuver - Ping
3a. Press and Hold 'maneuver - P'(i.e. 'P with Steering Icon') button within 45 seconds, Maneuver - Ping of vehicle should start once again from where it was left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</si>
  <si>
    <t>Verify maneuver - Ping of vehicle stops when it detects an incoming phone call during maneuvering process</t>
  </si>
  <si>
    <t>1. In 'REMOTE PARKING' screen , Keep pressing on 'maneuver - P'(i.e. 'P with Steering Icon') button continuously
2. While vehicle maneuver - Ping is in progress, Receive an Incoming Phone Call --&gt; Observe
3. Now within 45 seconds(i.e. Making sure that the Incoming Call is rejected or closed), Start pressing the 'maneuver - P'(i.e. 'P with Steering Icon') button continuously</t>
  </si>
  <si>
    <t>1. The vehicle should start and automatically steer out of the parking space when the driver activates and monitors this function on their smartphone via My Bentley App
             a) Parallel Parking Space
             b) Angle Parking Space
             c) Perpendicular Parking Space 
2. Once Incoming Phone Call is received while maneuvering, the vehicle should stop the maneuver - Ping
3a. Press and Hold 'maneuver - P'(i.e. 'P with Steering Icon') button within 45 seconds, Maneuver - Ping of vehicle should start once again from where it was left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</si>
  <si>
    <t>Verify maneuver - Ping of vehicle stops when My Bentley App is force closed during maneuvering process</t>
  </si>
  <si>
    <t>1. In 'REMOTE PARKING' screen , Keep pressing on 'maneuver - P'(i.e. 'P with Steering Icon') button continuously
2. While vehicle maneuver - Ping is in progress, Try force closing the My Bentley App --&gt; Observe
3. Now reopen My Bentley App once again(within 45 Secs), Start Remote Parking once again by pressing the 'maneuver - P'(i.e. 'P with Steering Icon') button continuously</t>
  </si>
  <si>
    <t>1. The vehicle should start and automatically steer out of the parking space when the driver activates and monitors this function on their smartphone via My Bentley App
             a) Parallel Parking Space
             b) Angle Parking Space
             c) Perpendicular Parking Space 
2. Once My Bentley App is force closed while maneuvering, the vehicle should stop the maneuver - Ping
3a. Press and Hold 'maneuver - P'(i.e. 'P with Steering Icon') button, Maneuver - Ping of vehicle should start once again from where it was left
3b. Once the vehicle has completed its maneuver (i.e. the vehicle has reached its final position) : 
             a)  It should stop and intimate the user that parking maneuver is completed successfully under 'REMOTE PARKING - PULLOUT FINISHED SUCCESSFULLY' screen
             b) It should display some relevant and applicable message (Ex : 'Please take over the vehicle')
             c) 'FINISH' button : Clicking on it should close the 'REMOTE PARKING - PARKING SUCCESSFULLY COMPLETED' screen</t>
  </si>
  <si>
    <t>Verify maneuver - Ping of vehicle should not be initiated via My Bentley App when 
a) 'Door' / 'Boot' is open
b) 'PHEV Charger' connected to vehicle</t>
  </si>
  <si>
    <t xml:space="preserve">• "Remote Parking" screen is launched
( My Bentley App --&gt; LOGIN OR REGISTER --&gt; Email --&gt; Enter valid email id --&gt; NEXT --&gt; Enter the Password --&gt; NEXT --&gt; Vehicle "DASHBOARD" screen --&gt; Click on "REMOTE PARKING" option under "CAR REMOTE" tab --&gt; CONNECTION ESTABLISHED screen is launched)
Note : Free Parking Space next to vehicle parked will be taken as reference for parking  </t>
  </si>
  <si>
    <t>• Automatic User Identification is done
• Bluetooth Connection with Vehicle is already established(i.e.  Bluetooth should be turned 'ON'  + Bluetooth permission must be granted)
• Location Services should be turned 'ON' / 'Set to Always' + Precise Location permission must be granted
• Vehicle parked in parking space
             a) Parallel Parking Space
             b) Angle Parking Space
             c) Perpendicular Parking Space 
• The distance between the GPS position of the sender and receiver must be &lt;4m 
• One Key(Vehicle Key-1) is next to the vehicle 
• 'Door' / 'Boot' is open
• 'PHEV Charger' connected to vehicle</t>
  </si>
  <si>
    <t>1. Select 'Start Remote Parking' button in CONNECTION ESTABLISHED screen during the below conditions and try to start the manuever
a) 'Door' / 'Boot' is open
b) 'PHEV Charger' connected to vehicle</t>
  </si>
  <si>
    <t>1. Remote Parking maneuver should not be initiated and should display relevant error message which is understandable to the user</t>
  </si>
  <si>
    <t xml:space="preserve">Verify automatic engine stops when there is no user interaction in 45 Secs after engine start
</t>
  </si>
  <si>
    <t xml:space="preserve">• Automatic User Identification is done
• Bluetooth Connection with Vehicle is already established(i.e.  Bluetooth should be turned 'ON'  + Bluetooth permission must be granted)
• Location Services should be turned 'ON' / 'Set to Always' + Precise Location permission must be granted
• In Vehicle Park Assist(i.e. P with Steering Wheel Icon) button is activated
• One Key(Vehicle Key-1) is next to the vehicle </t>
  </si>
  <si>
    <t>1. Drive the vehicle through the parking lot lane(&lt;5Km/Hr) and select the available parking space which the vehicle fits and the user want to park from HMI screen
             a) Parallel Parking Space
             b) Angle Parking Space
             c) Perpendicular Parking Space 
2. Select 'Remote Parking' and check whether Remote Parking initiation will be handed over to My Bentley App
3. Driver get off from the vehicle along with key fob
4. Close the vehicle Door
5. Start the Remote Park Assist Function via My Bentley App or by clicking on the Remote Park Assist Notification displayed in Mobile
6. Click on 'START REMOTE PARKING' button
7. Start Engine(Press until progress indicator is complete) by  pressing 'START / STOP' button
8. Do not perform any activity for 45 Secs, Check whether automatic stop of engine stops when there is no user interaction in 45 Secs after engine start</t>
  </si>
  <si>
    <t>1. The vehicle HMI should display options
             a) Start Automatic Parking
             b) Remote Parking
2. Selecting 'Remote Parking' should initiate handover to My Bentley App and a notification related to Remote Park Assist should be sent to mobile 
3. Driver get off from the vehicle successfully
4. Vehicle Door should be completely closed
5. 'REMOTE PARKING - CONNECTION ESTABLISHED' Screen should be launched displaying relevant and applicable message(Ex : 'The vehicle key and the mobile device must be with you and may not be further away from the vehicle than 6m') along with 'START REMOTE PARKING' button
6. 'REMOTE PARKING - PRESS AND HOLD START BUTTON' screen should be launched displaying
a) Vehicle Image
b) Relevant &amp; Applicable message (Ex : 'Please start the engine in the next 10 seconds. Otherwise the connection will be disconnected.'
c) 'START / STOP' button
7. Vehicle Engine starts and keep running
8. Engine should be automatically stopped in order to prevent poisoning by exhaust fumes if there is no user interaction in 45 Secs after engine start</t>
  </si>
  <si>
    <t>Stolen Vehicle Tracking</t>
  </si>
  <si>
    <t>1. Before starting each scenario, Please follow : 
a. Ignition = Off
b. Open &amp; Close Door
c. Wait 3 mins for complete vehicle bus sleep
d. While performing drive scenarios, Request to drive for &gt;500 m with Speed &gt;8Km/Hr on a straight road</t>
  </si>
  <si>
    <t>Check for VTS [Vehicle Tracking System / Stolen Vehicle Tracking] License for UK based vehicles</t>
  </si>
  <si>
    <t>• Internet Service should be enabled 
• HU is up and focus is in HMI screen
• VTS [Vehicle Tracking System / Stolen Vehicle Tracking] Service activated in a UK based vehicle 
• Driver Card is activated and present in vehicle
• License period screen is in focus
(Home screen --&gt; Settings --&gt; General--&gt; License periods)</t>
  </si>
  <si>
    <t xml:space="preserve">1. Tap on 'My Bentley in-car services' to check the VTS [Vehicle Tracking System / Stolen Vehicle Tracking] License details </t>
  </si>
  <si>
    <t>1. 'My Bentley in-car services' license package should be displayed for UK based vehicle with expiry date (in DD.MM.YYYY format and valid for +3 years from now) :
- Vehicle Tracking System (Only EU)</t>
  </si>
  <si>
    <t>Check for VTS [Vehicle Tracking System / Stolen Vehicle Tracking] License for non provisioned VTS vehicles(Ex : German Spec MY23 BY636 / MY23 BY63X)</t>
  </si>
  <si>
    <t>• Internet Service should be enabled 
• HU is up and focus is in HMI screen
• VTS [Vehicle Tracking System / Stolen Vehicle Tracking] Service not available
• License period screen is in focus
(Home screen --&gt; Settings --&gt; General--&gt; License periods)</t>
  </si>
  <si>
    <t>1. VTS [Vehicle Tracking System / Stolen Vehicle Tracking] License should not be displayed for non provisioned VTS vehicles under 'My Bentley in-car services' license package</t>
  </si>
  <si>
    <t>Checking mandatory availability of VTS [Vehicle Tracking System / Stolen Vehicle Tracking] service on UK based vehicle</t>
  </si>
  <si>
    <t xml:space="preserve">• My Bentley App is installed on IOS / ANDROID mobile device
• Log In to My Bentley App with valid credentials
• Internet Service should be enabled </t>
  </si>
  <si>
    <t xml:space="preserve">
• HU is up and focus is in HMI screen
• VTS [Vehicle Tracking System / Stolen Vehicle Tracking] Service activated in a UK based vehicle 
• Driver Card is activated and present in vehicle
• Primary User Nomination process is successfully completed
• VTS [Vehicle Tracking System / Stolen Vehicle Tracking] License is active and in use</t>
  </si>
  <si>
    <t>1. Go to CAR REMOTE screen in My Bentley App and check VTS [Vehicle Tracking System / Stolen Vehicle Tracking] status under 'STOLEN VEHICLE TRACKING' section(i.e. Make sure that VTS Service is available as a mandatory feature in 'UK' based vehicle)
( My Bentley App --&gt; LOGIN OR REGISTER --&gt; Email --&gt; Enter valid email id --&gt; NEXT --&gt; Enter the Password --&gt; NEXT --&gt; Vehicle 'DASHBOARD' screen --&gt; CAR REMOTE )
2. Call to VTS [Vehicle Tracking System / Stolen Vehicle Tracking] Customer Support Centre(i.e. Bentley Connected Car Contact Centre(B4C)) and request for VTS [Vehicle Tracking System / Stolen Vehicle Tracking] feature availability check for 'UK' based vehicle</t>
  </si>
  <si>
    <t>* For all UK spec vehicles :
1. VTS [Vehicle Tracking System / Stolen Vehicle Tracking] status should display as 'Active' under 'STOLEN VEHICLE TRACKING' section in CAR REMOTE screen of My Bentley App
2. VTS [Vehicle Tracking System / Stolen Vehicle Tracking] Customer Support team should give information about the VTS Service availability in 'UK' vehicle(i.e. The Customer should get the information about the VTS Service availability in vehicle)</t>
  </si>
  <si>
    <t>Checking for VTS [Vehicle Tracking System / Stolen Vehicle Tracking] feature in My Bentley App when vehicle is not provisioned for VTS Service</t>
  </si>
  <si>
    <t xml:space="preserve">• My Bentley App is installed in either Apple or Android mobile devices
• Internet Service should be enabled </t>
  </si>
  <si>
    <t>• Primary User Nomination process is successfully completed
• VTS [Vehicle Tracking System / Stolen Vehicle Tracking] License is not available</t>
  </si>
  <si>
    <t>1. Open My Bentley App with valid credentials either from Apple or Android mobile devices
( My Bentley App --&gt; LOGIN OR REGISTER --&gt; Email --&gt; Enter valid email id --&gt; NEXT --&gt; Enter the Password --&gt; NEXT --&gt; Vehicle 'DASHBOARD' screen )
2. Check for VTS [Vehicle Tracking System / Stolen Vehicle Tracking] feature under CAR REMOTE screen in My Bentley App when vehicle is not provisioned for VTS Service</t>
  </si>
  <si>
    <t>1. My Bentley App is launched successfully and focus is in vehicle 'DASHBOARD' screen
2. VTS [Vehicle Tracking System / Stolen Vehicle Tracking] feature should not be displayed under CAR REMOTE screen in My Bentley App when vehicle is not provisioned for VTS Service</t>
  </si>
  <si>
    <t>Check for VTS [Vehicle Tracking System / Stolen Vehicle Tracking] feature in My Bentley App when customer registers an VTS provisioned VIN</t>
  </si>
  <si>
    <t xml:space="preserve">• My Bentley App is installed on IOS / Android Mobile device
• Internet Service should be enabled </t>
  </si>
  <si>
    <t>• VTS [Vehicle Tracking System / Stolen Vehicle Tracking] active provisioned VIN is available 
• Primary User Nomination process is successfully completed
• VTS [Vehicle Tracking System / Stolen Vehicle Tracking] License is active and in use</t>
  </si>
  <si>
    <t>1. Login to My Bentley App with valid credentials in either from Apple or Android mobile devices
( My Bentley App --&gt; LOGIN OR REGISTER --&gt; Email --&gt; Enter valid email id --&gt; NEXT --&gt; Enter the Password --&gt; NEXT --&gt; Vehicle 'DASHBOARD' screen )
2. Go to 'ADD A VEHICLE' screen and add the VTS [Vehicle Tracking System / Stolen Vehicle Tracking] provisioned VIN along with other details(i.e. Retailer Info , Personal Info , Address Info &amp; Mobile Info ....etc.) to My Bentley App
3. Check whether recently registered VIN displays VTS [Vehicle Tracking System / Stolen Vehicle Tracking] feature along with its status under 'CAR REMOTE' screen of My Bentley App</t>
  </si>
  <si>
    <t>1. My Bentley App is launched successfully and focus is in vehicle 'DASHBOARD' screen
2. VTS [Vehicle Tracking System / Stolen Vehicle Tracking] active provisioned VIN should be added successfully and should be displayed under 'My Bentley App - DASHBOARD' screen
* My Bentley App - DASHBOARD screen : 
PLEASE ACTIVATE YOUR STOLEN VEHICLE TRACKING
Message : Please activate your vehicle tracking by follwing the online registration form..........
- Button : ACTIVATE VEHICLE TRACKING
- Activation Prompt(Vehicle Symbol) should be active in 'DASHBOARD' screen
3. Customer should be able to see the VTS [Vehicle Tracking System / Stolen Vehicle Tracking] feature in My Bentley App for the recently registered VIN
* My Bentley App - CAR REMOTE screen :
VTS [Vehicle Tracking System / Stolen Vehicle Tracking] - STOLEN VEHICLE TRACKING status should display as 'Not Active' / 'Not Activated' until unless it is activated</t>
  </si>
  <si>
    <t>Check whether correct VTS [Vehicle Tracking System / Stolen Vehicle Tracking] status displayed under 'CAR REMOTE' screen in My Bentley App</t>
  </si>
  <si>
    <t>• Valid VTS [Vehicle Tracking System / Stolen Vehicle Tracking] License is available
• Vehicle is provisioned with VTS [Vehicle Tracking System / Stolen Vehicle Tracking] Service
• Primary User Nomination process is successfully completed
• VTS [Vehicle Tracking System / Stolen Vehicle Tracking] License is active and in use</t>
  </si>
  <si>
    <t>1. Open My Bentley App with valid credentials either from Apple or Android mobile devices
( My Bentley App --&gt; LOGIN OR REGISTER --&gt; Email --&gt; Enter valid email id --&gt; NEXT --&gt; Enter the Password --&gt; NEXT --&gt; Vehicle 'DASHBOARD' screen )
2. Check for VTS [Vehicle Tracking System / Stolen Vehicle Tracking] status displayed under STOLEN VEHICLE TRACKING section in CAR REMOTE screen of My Bentley App when VTS service activation is 'Not Activated'
3. Check for VTS [Vehicle Tracking System / Stolen Vehicle Tracking] status displayed under STOLEN VEHICLE TRACKING section in CAR REMOTE screen of My Bentley App when VTS service activation is 'Pending'
4. Check for VTS [Vehicle Tracking System / Stolen Vehicle Tracking] status displayed under STOLEN VEHICLE TRACKING section in CAR REMOTE screen of My Bentley App when VTS service activation is 'Active'</t>
  </si>
  <si>
    <t>1. My Bentley App is launched successfully and focus is in vehicle 'DASHBOARD' screen
2. VTS [Vehicle Tracking System / Stolen Vehicle Tracking] status 'Not Activated / No data' should be displayed under 'CAR REMOTE' screen in My Bentley App
3. VTS [Vehicle Tracking System / Stolen Vehicle Tracking] status 'License Pending' should be displayed under 'CAR REMOTE' screen in My Bentley App
4. VTS [Vehicle Tracking System / Stolen Vehicle Tracking] status 'Currently Active' should be displayed under 'CAR REMOTE' screen in My Bentley App</t>
  </si>
  <si>
    <t>Check for personal info details of customer under VTS [Vehicle Tracking System / Stolen Vehicle Tracking] service in My Bentley App after VTS service activation</t>
  </si>
  <si>
    <t>• Valid VTS [Vehicle Tracking System / Stolen Vehicle Tracking] License is available
• Vehicle is provisioned with VTS [Vehicle Tracking System / Stolen Vehicle Tracking] Service and is active
• Primary User Nomination process is successfully completed</t>
  </si>
  <si>
    <t>1. Open My Bentley App with valid credentials either from Apple or Android mobile devices
( My Bentley App --&gt; LOGIN OR REGISTER --&gt; Email --&gt; Enter valid email id --&gt; NEXT --&gt; Enter the Password --&gt; NEXT --&gt; Vehicle 'DASHBOARD' screen )
2. Launch VTS [Vehicle Tracking System / Stolen Vehicle Tracking] under CAR REMOTE screen
(CAR REMOTE --&gt; STOLEN VEHICLE TRACKING)
3. Select 'My Details' tab
4. Check for Personal Info details under 'My Details' tab is displayed correctly</t>
  </si>
  <si>
    <t>1. My Bentley App is launched successfully  and focus is in vehicle 'DASHBOARD' screen
2. VTS [Vehicle Tracking System / Stolen Vehicle Tracking]-'STOLEN VEHICLE TRACKING' screen is launched displaying : 
- 'My Alerts' tab
- 'Configure' tab
- 'My Details' tab
3. 'My Details' tab should be launched displaying 
- 'MY CERTIFICATE' section : 
a. My STOLEN VEHICLE TRACKING Certificate : Customer should be allowed to download the 'My STOLEN VEHICLE TRACKING Certificate' in pdf format to produce it to the insurance company
- 'MY DETAILS' section : 
a. Name 
b. Email Address  
c. Address
d. Primary Mobile Number
e. Other Mobile Numbers
f. My Bentley(Vehicle Info - Range / Model , Colour , Vehicle Registered Country Info &amp; Registration Number of Vehicle)
g.  My Security Questions
h. My Security Language
4. Personal Information details should be displayed properly under 'My Details' tab
a. Name :
b. Email Address : 
c. Address :
d. Zip Code :
e. Country :
f. Language :
g. Mobile Phone Number(i.e. 'Primary Mobile Number' &amp; 'Other Mobile Numbers') :</t>
  </si>
  <si>
    <t>Check for vehicle details(Info - Colour …etc.) under VTS[Vehicle Tracking System / Stolen Vehicle Tracking] service in My Bentley App after VTS service activation</t>
  </si>
  <si>
    <t>• Valid VTS [Vehicle Tracking System / Stolen Vehicle Tracking] License is available
• Vehicle is provisioned with VTS [Vehicle Tracking System / Stolen Vehicle Tracking] Service and is active
• Primary User Nomination process is successfully complted</t>
  </si>
  <si>
    <t>1. Open My Bentley App with valid credentials either from Apple or Android mobile devices
( My Bentley App --&gt; LOGIN OR REGISTER --&gt; Email --&gt; Enter valid email id --&gt; NEXT --&gt; Enter the Password --&gt; NEXT --&gt; Vehicle 'DASHBOARD' screen )
2. Launch VTS [Vehicle Tracking System / Stolen Vehicle Tracking] under CAR REMOTE screen
(CAR REMOTE --&gt; STOLEN VEHICLE TRACKING)
3. Select 'My Details' tab
4. Select 'My Bentley' section and check for Vehicle Info details
5. Check for Vehicle colour details under VTS [Vehicle Tracking System / Stolen Vehicle Tracking] Service</t>
  </si>
  <si>
    <t>1. My Bentley App is launched successfully and focus is in vehicle 'DASHBOARD' screen
2. VTS [Vehicle Tracking System / Stolen Vehicle Tracking]-'STOLEN VEHICLE TRACKING' screen is launched displaying : 
- 'My Alerts' tab
- 'Configure' tab
- 'My Details' tab
3. 'My Details' tab should be launched displaying 
- 'MY CERTIFICATE' section : 
a. My STOLEN VEHICLE TRACKING Certificate : Customer should be allowed to download the 'My STOLEN VEHICLE TRACKING Certificate' in pdf format to produce it to the insurance company
- 'MY DETAILS' section : 
a. Name 
b. Email Address  
c. Address
d. Primary Mobile Number
e. Other Mobile Numbers
f. My Bentley (Vehicle Info - Range / Model , Colour , Vehicle Registered Country Info &amp; Registration Number of Vehicle)
g.  My Security Questions 
h. My Security Language
4. 'Vehicle Info' details should be displayed under 'My Bentley' section : 
a. Model (Ex: Flying Spur V8 S)(Not possible to edit)
b. Colour (Ex: Green) (This can be edited)
c. Country in which Vehicle is Registered (Not possible to edit)
d. Vehicle Registration Number (This can be edited)
5. 'Vehicle colour' details should display the colour of the Vehicle</t>
  </si>
  <si>
    <t>Manual Update of Personal Info of Customer data via VTS [Vehicle Tracking System / Stolen Vehicle Tracking] service in My Bentley App</t>
  </si>
  <si>
    <t>1. Open My Bentley App with valid credentials either from Apple or Android mobile devices 
( My Bentley App --&gt; LOGIN OR REGISTER --&gt; Email --&gt; Enter valid email id --&gt; NEXT --&gt; Enter the Password --&gt; NEXT --&gt; Vehicle 'DASHBOARD' screen )
2. Launch VTS [Vehicle Tracking System / Stolen Vehicle Tracking] under CAR REMOTE screen
(CAR REMOTE --&gt; STOLEN VEHICLE TRACKING)
3. Select 'My Details' tab
4. Try to edit Personal Info details of Customer under 'My Details' tab
5. Click on Save after editing 'Personal Info' details</t>
  </si>
  <si>
    <t>1. My Bentley App is launched successfully and focus is in vehicle 'DASHBOARD' screen
2. VTS [Vehicle Tracking System / Stolen Vehicle Tracking]-STOLEN VEHICLE TRACKING screen is launched displaying : 
- 'My Alerts' tab
- 'Configure' tab
- 'My Details' tab
3. 'My Details' tab should be launched displaying 
- 'MY CERTIFICATE' section : 
a. My STOLEN VEHICLE TRACKING Certificate : Customer should be allowed to download the 'My STOLEN VEHICLE TRACKING Certificate' in pdf format to produce it to the insurance company
- 'MY DETAILS' section : 
a. Name 
b. Email Address  
c. Address
d. Primary Mobile Number
e. Other Mobile Numbers
f. My Bentley(Vehicle Info - Range / Model , Colour , Vehicle Registered Country Info &amp; Registration Number of Vehicle)
g. My Security Questions 
h. My Security Language
4. Customer should be able to edit the below mentioned 'Personal Info' details
a. Name :
b. Email Address : 
c. Address :
d. Zip Code :
e. Country :
f. Language :
g. Mobile Phone Number :
h. Security Language :
i. Security Question :
5. The personal details of customer can be updated manually and saved successfully</t>
  </si>
  <si>
    <t>Manual Update of Vehicle Information via VTS [Vehicle Tracking System / Stolen Vehicle Tracking] service in My Bentley App</t>
  </si>
  <si>
    <t xml:space="preserve">1. Open My Bentley App with valid credentials either from Apple or Android mobile devices 
( My Bentley App --&gt; LOGIN OR REGISTER --&gt; Email --&gt; Enter valid email id --&gt; NEXT --&gt; Enter the Password --&gt; NEXT --&gt; Vehicle 'DASHBOARD' screen )
2. Launch VTS [Vehicle Tracking System / Stolen Vehicle Tracking] under CAR REMOTE screen
(CAR REMOTE --&gt; STOLEN VEHICLE TRACKING)
3. Select 'My Details' tab
4. Check for Vehicle Info details(CAR REMOTE --&gt; STOLEN VEHICLE TRACKING --&gt; 'My Details' tab --&gt; Contact Details --&gt; My Bentley) under VTS [Vehicle Tracking System / Stolen Vehicle Tracking] Service
5. Try to edit the 'Vehicle Info' and check whether user is able to modify the vehicle details
6. Try to change the colour of vehicle
</t>
  </si>
  <si>
    <t>1. My Bentley App is launched successfully and focus is in vehicle 'DASHBOARD' screen
2. VTS [Vehicle Tracking System / Stolen Vehicle Tracking]-'STOLEN VEHICLE TRACKING' screen is launched displaying : 
- 'My Alerts' tab
- 'Configure' tab
- 'My Details' tab
3. 'My Details' tab should be launched displaying 
- 'MY CERTIFICATE' section : 
a. My STOLEN VEHICLE TRACKING Certificate : Customer should be allowed to download the ''My STOLEN VEHICLE TRACKING Certificate'' in pdf format to produce it to the insurance company
- 'MY DETAILS' section : 
a. Name 
b. Email Address  
c. Address
d. Primary Mobile Number
e. Other Mobile Numbers
f. My Bentley(Vehicle Info - Range / Model , Colour , Vehicle Registered Country Info &amp; Registration Number of Vehicle)
g. My Security Questions
h. My Security Language
4. 'Vehicle Info' details should display with edit option :  
a. Range (Ex : Flying Spur)
b. Vehicle colour (Ex : Red
c. Country in which Vehicle is Registered : 
d. Vehicle Registration Number Info :
5. 'Vehicle Information' details : 
a. Model: Locked
b. Primary Colour : Initial Vehicle Colour will be displayed - Customer should be allowed to select the vehicle colour
c. Country in which Vehicle is Registered : Locked
d. Vehicle Registration Number Info : Customer should be allowed to add the Vehicle Registration details'
6. Customer should be allowed to edit the vehicle colour</t>
  </si>
  <si>
    <t>Manual Update of Security Questions via VTS [Vehicle Tracking System / Stolen Vehicle Tracking] service in My Bentley App</t>
  </si>
  <si>
    <t xml:space="preserve">1. Open My Bentley App with valid credentials either from Apple or Android mobile devices 
( My Bentley App --&gt; LOGIN OR REGISTER --&gt; Email --&gt; Enter valid email id --&gt; NEXT --&gt; Enter the Password --&gt; NEXT --&gt; Vehicle 'DASHBOARD' screen )
2. Launch VTS [Vehicle Tracking System / Stolen Vehicle Tracking] under CAR REMOTE screen
(CAR REMOTE --&gt; STOLEN VEHICLE TRACKING)
3. Select 'My Details' tab
4. Click on 'Security Question' option(CAR REMOTE --&gt; STOLEN VEHICLE TRACKING --&gt; 'My Details' tab --&gt; Contact Details --&gt; My Security Question) under VTS service and try updating the security questions
</t>
  </si>
  <si>
    <t>1. My Bentley App is launched successfully and focus is in vehicle 'DASHBOARD' screen
2. VTS [Vehicle Tracking System / Stolen Vehicle Tracking]-'STOLEN VEHICLE TRACKING' screen is launched displaying : 
- 'My Alerts' tab
- 'Configure' tab
- 'My Details' tab
3. 'My Details' tab should be launched displaying 
- 'MY CERTIFICATE' section : 
a. My STOLEN VEHICLE TRACKING Certificate : Customer should be allowed to download the ''My STOLEN VEHICLE TRACKING Certificate'' in pdf format to produce it to the insurance company
- 'MY DETAILS' section : 
a. Name 
b. Email Address  
c. Address
d. Primary Mobile Number
e. Other Mobile Numbers
f. My Bentley(Vehicle Info - Range / Model , Colour , Vehicle Registered Country Info &amp; Registration Number of Vehicle)
g. My Security Questions
h. My Security Language
4. Customer should be able to update the security questions along with security answer successfully 
a. What was the name of your first school?
b. Where is your place of birth?
c. What is the name of your first pet? 
d. Your Answer(Select &amp; Answer the security question)
e. Button : 'SAVE CHANGES'</t>
  </si>
  <si>
    <t>Turn Off VTS [Vehicle Tracking System / Stolen Vehicle Tracking] Service via My Bentley App[Deactivation Mode = On]</t>
  </si>
  <si>
    <t>1. Open My Bentley App with valid credentials either from Apple or Android mobile devices 
( My Bentley App --&gt; LOGIN OR REGISTER --&gt; Email --&gt; Enter valid email id --&gt; NEXT --&gt; Enter the Password --&gt; NEXT --&gt; Vehicle 'DASHBOARD' screen )
2. Launch VTS [Vehicle Tracking System / Stolen Vehicle Tracking] under CAR REMOTE screen
(CAR REMOTE --&gt; STOLEN VEHICLE TRACKING)
3. Select ''Configure'' tab
4. Enable 'Deactivation Mode' followed with 'SYNC TO CAR'</t>
  </si>
  <si>
    <t>1. My Bentley App is launched successfully and focus is in vehicle 'DASHBOARD' screen
2. VTS [Vehicle Tracking System / Stolen Vehicle Tracking]-'STOLEN VEHICLE TRACKING' screen is launched displaying : 
- 'My Alerts' tab
- 'Configure' tab
- 'My Details' tab
3. STOLEN VEHICLE TRACKING - 'Configure' tab is launched displaying
a. Transport Mode
b. Garage Mode
c. Deactivation Mode
d. Button : 'SYNC TO CAR'
4. VTS [Vehicle Tracking System / Stolen Vehicle Tracking] service should be turned off and no alarm should be triggered when the vehicle is driven without a driver card
'VTS [Vehicle Tracking System / Stolen Vehicle Tracking] - My Alert' tab should display status 'DEACTIVATION MODE ENABLED - Active until XX:YY Time , Day Info'</t>
  </si>
  <si>
    <t>Try Turning Off Special Mode VTS [Vehicle Tracking System / Stolen Vehicle Tracking] Services(i.e. 'Transport Mode' / 'Garage Mode' / 'Deactivation Mode') in no network zone via My Bentley App during network loss</t>
  </si>
  <si>
    <t>1. Open My Bentley App with valid credentials either from Apple or Android mobile devices 
( My Bentley App --&gt; LOGIN OR REGISTER --&gt; Email --&gt; Enter valid email id --&gt; NEXT --&gt; Enter the Password --&gt; NEXT --&gt; Vehicle 'DASHBOARD' screen )
2. Launch VTS [Vehicle Tracking System / Stolen Vehicle Tracking] under CAR REMOTE screen
(CAR REMOTE --&gt; STOLEN VEHICLE TRACKING)
3. Select 'Configure' tab
4. Enable either of the Special Mode VTS [Vehicle Tracking System / Stolen Vehicle Tracking] Services i.e. 'Transport Mode' / 'Garage Mode' / 'Deactivation Mode' along with timer if applicable
5. Go to No Network Coverage Area(i.e. Activate Flight Mode in Mobile)
6. Now try to deactivate any of the Special Mode VTS services(i.e. 'Transport Mode' / 'Garage Mode' / 'Deactivation Mode') during network loss</t>
  </si>
  <si>
    <t>1. My Bentley App is launched successfully and focus is in vehicle 'DASHBOARD' screen
2. VTS [Vehicle Tracking System / Stolen Vehicle Tracking]-'STOLEN VEHICLE TRACKING' screen is launched displaying : 
- 'My Alerts' tab
- 'Configure' tab
- 'My Details' tab
3. 'STOLEN VEHICLE TRACKING - 'Configure' tab is launched displaying
a. Transport Mode = Off
b. Garage Mode = Off
c. Deactivation Mode = Off
d. Button : 'SYNC TO CAR'
4. Selected Special Mode VTS [Vehicle Tracking System / Stolen Vehicle Tracking] Service should be enabled  i.e. 'Transport Mode' / 'Garage Mode' / 'Deactivation Mode'
5. Mobile in no network coverage area(i.e. Flight Mode in mobile should be activated successfully)
6. VTS should display some kind of error message stating that the user cannot deactivate any of the special mode VTS services( i.e. 'Transport Mode' / 'Garage Mode' / 'Deactivation Mode'] in no network zone</t>
  </si>
  <si>
    <t>Check whether VTS [Vehicle Tracking System / Stolen Vehicle Tracking] Support Centre triggers theft alert when vehicle is moved greater then 500 m without a Driver Card while Customer number is switched Off / not reachable / Busy</t>
  </si>
  <si>
    <t xml:space="preserve">• My Bentley App is installed on IOS / ANDROID mobile device
• Log-In to My Bentley App with valid credentials
• Internet Service should be enabled </t>
  </si>
  <si>
    <t>• HU is up and focus is in HMI screen
• Vehicle is provisioned with VTS [Vehicle Tracking System / Stolen Vehicle Tracking] Service and is active
• VTS [Vehicle Tracking System / Stolen Vehicle Tracking] Service activated Driver Card not present in vehicle
• Customer and Vehicle are present in the registered country and is latched to a Parent Network(i.e. Ex : Vodafone UK)
• Primary User Nomination process is successfully completed
• VTS [Vehicle Tracking System / Stolen Vehicle Tracking] License is active and in use</t>
  </si>
  <si>
    <t>1. Start the Vehicle(i.e. Ignition ON)
2. My Bentley App : Go to CAR REMOTE screen in My Bentley App and check VTS [Vehicle Tracking System / Stolen Vehicle Tracking] status under 'STOLEN VEHICLE TRACKING' section
( My Bentley App --&gt; LOGIN OR REGISTER --&gt; Email --&gt; Enter valid email id --&gt; NEXT --&gt; Enter the Password --&gt; NEXT --&gt; Vehicle 'DASHBOARD' screen --&gt; CAR REMOTE )
3. Engine Off(i.e. Ignition OFF)
4. After 2 minutes, Engine - ON, Move or Drive the vehicle greater then 500 m without Driver Card in it
5. Check for Vodafone VTS [Vehicle Tracking System / Stolen Vehicle Tracking] Customer Support Team functionality when vehicle is moved &gt;500 m without driver card in vehicle</t>
  </si>
  <si>
    <t>1. Ignition is ON and HMI screen is up
2. VTS [Vehicle Tracking System / Stolen Vehicle Tracking] status should display as 'Active' under 'STOLEN VEHICLE TRACKING' section in CAR REMOTE screen of My Bentley App
3. Car Engine is turned Off successfully
4. Vehicle is moved &gt;500 m without driver card in it
5. 'VTS [Vehicle Tracking System / Stolen Vehicle Tracking] Customer Support team tries to establish a phone call to customer firstly, Suppose if the customer number is switched off / not reachable / Busy then :
a. It again makes several attempts to establish a call to customer 
b. Continuously checks position of car
c. After failing to establish a call with customer --&gt; They access the theft management screen and confirm that is a real theft by clicking the relative button, Then the VTS [Vehicle Tracking System / Stolen Vehicle Tracking] Theft tracking is triggered and finally informed to the Law and Enforcement Agency
d. After the positive resolution of theft, They try to inform the customer about the incident
e. After the positive resolution of theft, Finally theft report is sent to Law and Enforcement Agency as well as to customer for further reference</t>
  </si>
  <si>
    <t>Examination of  'Driver card not found' message on Kombi screen</t>
  </si>
  <si>
    <t xml:space="preserve">• Internet Service should be enabled </t>
  </si>
  <si>
    <t xml:space="preserve">
• HU is up and focus is in HMI screen
• Vehicle is provisioned with VTS [Vehicle Tracking System / Stolen Vehicle Tracking] Service and is active
• VTS [Vehicle Tracking System / Stolen Vehicle Tracking] Service activated Driver Card not present in vehicle
• Primary User Nomination process is successfully completed
• VTS [Vehicle Tracking System / Stolen Vehicle Tracking] License is active and in use</t>
  </si>
  <si>
    <t>1. Start the Vehicle(i.e. Ignition ON) and do not move / drive the vehicle
2. After a while, Check whether 'Driver Card not found message' displayed on Kombi screen</t>
  </si>
  <si>
    <t>1. Ignition is ON and HMI screen is up
2. 'Driver Card not found message' should be displayed in the Kombi screen as well as in Kombi / Cluster</t>
  </si>
  <si>
    <t>Check whether VTS [Vehicle Tracking System / Stolen Vehicle Tracking] Alert or Notification received to customer when vehicle is moved while a Driver Card is out of the read range</t>
  </si>
  <si>
    <t xml:space="preserve">
• HU is up and focus is in HMI screen
• Vehicle is provisioned with VTS [Vehicle Tracking System / Stolen Vehicle Tracking] Service and is active
• VTS [Vehicle Tracking System / Stolen Vehicle Tracking] Service activated Driver Card present in vehicle
• Customer and Vehicle are present in the registered country and is latched to a Parent Network(i.e. Ex : Vodafone UK)
• Primary User Nomination process is successfully completed
• VTS [Vehicle Tracking System / Stolen Vehicle Tracking] License is active and in use</t>
  </si>
  <si>
    <t>1. Start the Vehicle(i.e. Ignition ON) Ignition is ON and HMI screen is up
2. Move or Drive the vehicle greater then 500 m with Driver Card in it Vehicle is moved &gt;500 m(Speed &gt; 8 Km/Hr) with driver card in it
3. While vehicle in motion, Keep the Driver Card out of the read range(i.e. Driver card kept in such a way that it it is out of the read range) Vehicle is moved &gt;500 m(Speed &gt; 8 Km/Hr) with driver card out of the read range
4. Now check after sometime, whether VTS [Vehicle Tracking System / Stolen Vehicle Tracking] Alert or Notification comes to customer via Phone Call from VTS Customer Support Centre about the incident while vehicle is being moved with a linked driver card kept in such a way that it it is out of the read range</t>
  </si>
  <si>
    <t>1. Ignition is ON and HMI screen is up
2. Vehicle is moved &gt;500 m(Speed &gt; 8 Km/Hr) with driver card in it
3. Vehicle is moved &gt;500 m(Speed &gt; 8 Km/Hr) with driver card out of the read range
4. Customer should receive a VTS [Vehicle Tracking System / Stolen Vehicle Tracking] theft notification i.e. via Phone call from Vodafone VTS Customer Support Team about the incident while vehicle is being moved with a linked driver card kept in such a way that it it is out of the read range</t>
  </si>
  <si>
    <t>Examination of moving the vehicle with driver card when privacy Mode is ON.</t>
  </si>
  <si>
    <t xml:space="preserve">
• HU is up and focus is in HMI screen
• Vehicle is provisioned with VTS [Vehicle Tracking System / Stolen Vehicle Tracking] Service and is active
• VTS [Vehicle Tracking System / Stolen Vehicle Tracking] Service activated Driver Card present in vehicle
• Customer and Vehicle are present in the registered country and is latched to a Parent Network(i.e. Ex : Vodafone UK)
• Primary User Nomination process is successfully completed
• Privacy Mode is set to 'ON'
• VTS [Vehicle Tracking System / Stolen Vehicle Tracking] License is active and in use</t>
  </si>
  <si>
    <t>1. Start the Vehicle(i.e. Ignition ON) Ignition is ON and HMI screen is up
2. Confirm whether Privacy Mode is set to 'ON' Privacy Mode is enabled
3. Move or Drive the vehicle greater then 500 m with Driver Card in it Vehicle is moved &gt;500 m with driver card in it
4. Now check after sometime, whether VTS [Vehicle Tracking System / Stolen Vehicle Tracking] Alert or Notification comes to customer via Phone Call from VTS Customer Support Centre when vehicle is moved with a Driver Card with Privacy Mode enabled</t>
  </si>
  <si>
    <t xml:space="preserve">1. Ignition is ON and HMI screen is up
2. Privacy Mode is enabled
3. Vehicle is moved &gt;500 m with driver card in it
4. Customer should not receive a VTS [Vehicle Tracking System / Stolen Vehicle Tracking] theft notification i.e. via Phone call from Vodafone VTS Customer Support Team when vehicle is moved with a Driver Card with Privacy Mode enabled
</t>
  </si>
  <si>
    <t>Examination of moving the vehicle without driver card when privacy Mode is ON.</t>
  </si>
  <si>
    <t xml:space="preserve">
• HU is up and focus is in HMI screen
• Vehicle is provisioned with VTS [Vehicle Tracking System / Stolen Vehicle Tracking] Service and is active
• VTS [Vehicle Tracking System / Stolen Vehicle Tracking] Service activated Driver Card not present in vehicle
• Customer and Vehicle are present in the registered country and is latched to a Parent Network(i.e. Ex : Vodafone UK)
• Primary User Nomination process is successfully completed
• Privacy Mode is set to 'ON'
• VTS [Vehicle Tracking System / Stolen Vehicle Tracking] License is active and in use</t>
  </si>
  <si>
    <t xml:space="preserve">1. Start the Vehicle(i.e. Ignition ON) 
2. Confirm whether Privacy Mode is set to 'ON' 
3. Move or Drive the vehicle greater then 500 m without Driver Card in it
4. Now check after sometime, whether VTS [Vehicle Tracking System / Stolen Vehicle Tracking] Alert or Notification comes to customer via Phone Call from VTS Customer Support Centre when vehicle is driven without a Driver Card while Privacy Mode is 'ON' </t>
  </si>
  <si>
    <t>1. Ignition is ON and HMI screen is up
2. Privacy Mode is enabled
3. Vehicle is moved &gt;500 m with driver card in it
4. Customer should receive a VTS [Vehicle Tracking System / Stolen Vehicle Tracking] theft notification i.e. via Phone call from Vodafone VTS Customer Support Team about the incident while vehicle is being moved without a Driver Card in it while Privacy Mode is 'ON'</t>
  </si>
  <si>
    <t>Check whether Factory reset performed through the MIB or Main Unit should not deactivate the VTS [Vehicle Tracking System / Stolen Vehicle Tracking] service</t>
  </si>
  <si>
    <t xml:space="preserve">1. Start the Vehicle(i.e. Ignition ON) 
2. Go to Vehicle Settings and Perform Full Factory Reset 
3. Open My Bentley App with valid credentials either from Apple or Android mobile devices 
4. Check for VTS [Vehicle Tracking System / Stolen Vehicle Tracking] status displayed under 'STOLEN VEHICLE TRACKING' section in 'CAR REMOTE' screen of My Bentley App screen </t>
  </si>
  <si>
    <t>1. Ignition is ON and HMI screen is up
2. Full Factory reset is performed successfully
3. My Bentley App is launched successfully and focus is in vehicle 'DASHBOARD' screen
4. VTS [Vehicle Tracking System / Stolen Vehicle Tracking] status 'Active' should be displayed under 'STOLEN VEHICLE TRACKING' section in 'CAR REMOTE' screen of My Bentley App screen after performing factory reset
(i.e. VTS service should be active even after factory reset done on MIB or Main Unit)</t>
  </si>
  <si>
    <t xml:space="preserve">
• Valid VTS [Vehicle Tracking System / Stolen Vehicle Tracking] License is available
• Vehicle is provisioned with VTS [Vehicle Tracking System / Stolen Vehicle Tracking] Service
• Primary User Nomination process is successfully completed</t>
  </si>
  <si>
    <t xml:space="preserve">
• Valid VTS [Vehicle Tracking System / Stolen Vehicle Tracking] License is available
• Vehicle is provisioned with VTS [Vehicle Tracking System / Stolen Vehicle Tracking] Service
• My Bentley App is installed in either Apple or Android mobile devices
• Primary User Nomination process is successfully completed
• Internet Service should be enabled </t>
  </si>
  <si>
    <t>Check whether 'Garage Mode' is automatically disabled once the set timer expires under VTS [Vehicle Tracking System / Stolen Vehicle Tracking] feature in My Bentley App</t>
  </si>
  <si>
    <t xml:space="preserve">
• Valid VTS [Vehicle Tracking System / Stolen Vehicle Tracking] License is available
• Vehicle is provisioned with VTS [Vehicle Tracking System / Stolen Vehicle Tracking] Service
• Garage Mode is enabled with set time
• Primary User Nomination process is successfully completed</t>
  </si>
  <si>
    <t xml:space="preserve">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'Garage Mode' status under 'STOLEN VEHICLE TRACKING - My Alerts' screen
( My Bentley App 'DASHBOARD' --&gt; CAR REMOTE --&gt; STOLEN VEHICLE TRACKING  --&gt; 'My Alerts' tab ) 
3. Wait for the 'Garage Mode' set timer to expire 
4. Now again check for 'Garage Mode' status under 'STOLEN VEHICLE TRACKING - My Alerts' screen
( My Bentley App 'DASHBOARD' --&gt; CAR REMOTE --&gt; STOLEN VEHICLE TRACKING  --&gt; 'My Alerts' tab ) 
5. Check for 'Garage Mode' option under 'STOLEN VEHICLE TRACKING - Configure' screen 
( My Bentley App - 'DASHBOARD' --&gt; CAR REMOTE --&gt; STOLEN VEHICLE TRACKING --&gt; 'Configure' tab --&gt; Garage Mode ) </t>
  </si>
  <si>
    <t>1. My Bentley App is launched successfully and focus is in vehicle 'DASHBOARD' screen
2. 'STOLEN VEHICLE TRACKING - My Alerts' screen should display status 'GARAGE MODE ENABLED - Active until XX:YY Time , Day Info'
3. 'Garage Mode' set timer is expired
4. 'STOLEN VEHICLE TRACKING - My Alerts' screen should display status 'GARAGE MODE ENABLED - Active until XX:YY Time , Day Info'
5. 'Garage Mode' status should be 'Inactive' / 'Disabled'</t>
  </si>
  <si>
    <t>Check whether 'Transport Mode' is automatically disabled once the set timer expires under VTS [Vehicle Tracking System / Stolen Vehicle Tracking] option in My Bentley App</t>
  </si>
  <si>
    <t xml:space="preserve">
• Valid VTS [Vehicle Tracking System / Stolen Vehicle Tracking] License is available
• Vehicle is provisioned with VTS [Vehicle Tracking System / Stolen Vehicle Tracking] Service
• My Bentley App is installed in either Apple or Android mobile devices
• Transport Mode is enabled with set time
• Primary User Nomination process is successfully completed
• Internet Service should be enabled </t>
  </si>
  <si>
    <t xml:space="preserve">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'Transport Mode' status under 'STOLEN VEHICLE TRACKING - My Alerts' screen
( My Bentley App 'DASHBOARD' --&gt; CAR REMOTE --&gt; STOLEN VEHICLE TRACKING  --&gt; 'My Alerts' tab )  
3. Wait for the 'Transport Mode' set timer to expire 
4. Now again check for 'Transport Mode' status under 'STOLEN VEHICLE TRACKING - My Alerts' screen
( My Bentley App 'DASHBOARD' --&gt; CAR REMOTE --&gt; STOLEN VEHICLE TRACKING  --&gt; 'My Alerts' tab ) 
5. Check for 'Transport Mode' option under 'STOLEN VEHICLE TRACKING - Configure' screen 
( My Bentley App - 'DASHBOARD' --&gt; CAR REMOTE --&gt; STOLEN VEHICLE TRACKING --&gt; 'Configure' --&gt; Transport Mode ) </t>
  </si>
  <si>
    <t>1. My Bentley App is launched successfully and focus is in vehicle 'DASHBOARD' screen
2. 'STOLEN VEHICLE TRACKING - My Alerts' screen should display status 'TRANSPORT MODE ENABLED - Active until XX:YY Time , Day Info'
3. 'Transport Mode' set timer is expired
4. 'Transport Mode' status should not be displayed under 'STOLEN VEHICLE TRACKING - My Alerts' screen when deactivated or expired
5. 'Transport Mode' status should be 'Inactive' / 'Disabled'</t>
  </si>
  <si>
    <t>Check whether 'Deactivation Mode' is automatically disabled once the set timer expires under VTS [Vehicle Tracking System / Stolen Vehicle Tracking] feature in My Bentley App</t>
  </si>
  <si>
    <t xml:space="preserve">
• Valid VTS [Vehicle Tracking System / Stolen Vehicle Tracking] License is available
• Vehicle is provisioned with VTS [Vehicle Tracking System / Stolen Vehicle Tracking] Service
• Deactivation Mode is enabled with set time
• Primary User Nomination process is successfully completed</t>
  </si>
  <si>
    <t xml:space="preserve">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'Deactivation Mode' status under 'STOLEN VEHICLE TRACKING - My Alerts' screen
( My Bentley App 'DASHBOARD' --&gt; CAR REMOTE --&gt; STOLEN VEHICLE TRACKING  --&gt; 'My Alerts' tab )  
3. Wait for the 'Deactivation Mode' set timer to expire 
4. Now again check for 'Deactivation Mode' status under 'STOLEN VEHICLE TRACKING - My Alerts' screen
( My Bentley App 'DASHBOARD' --&gt; CAR REMOTE --&gt; STOLEN VEHICLE TRACKING  --&gt; 'My Alerts' tab ) 
5. Check for 'Deactivation Mode' option under 'STOLEN VEHICLE TRACKING - Configure' screen 
( My Bentley App - 'DASHBOARD' --&gt; CAR REMOTE --&gt; STOLEN VEHICLE TRACKING --&gt; 'Configure' --&gt; Deactivation Mode ) </t>
  </si>
  <si>
    <t>1. My Bentley App is launched successfully and focus is in vehicle 'DASHBOARD' screen
2. 'STOLEN VEHICLE TRACKING - My Alerts' screen should display status 'DEACTIVATION MODE ENABLED - Active until XX:YY Time , Day Info'
3. 'Deactivation Mode' set timer is expired
4. 'Deactivation Mode' status should not be displayed under 'STOLEN VEHICLE TRACKING - My Alerts' screen when deactivated or expired
5. 'Deactivation Mode' status should be 'Inactive' / 'Disabled'</t>
  </si>
  <si>
    <t>Verify only one of the special mode is activated at a time in My Bentley App</t>
  </si>
  <si>
    <t xml:space="preserve">• My Bentley App is installed in either Apple or Android mobile devices
• Log-In to My Bentley App with valid credentials
• Transport Mode = On
• Internet Service should be enabled </t>
  </si>
  <si>
    <t xml:space="preserve">
• Valid VTS [Vehicle Tracking System / Stolen Vehicle Tracking] License is available
• Vehicle is provisioned with VTS [Vehicle Tracking System / Stolen Vehicle Tracking] Service
• Primary User Nomination process is successfully completed
• Garage Mode = Off
• Deactivation Mode = Off</t>
  </si>
  <si>
    <t xml:space="preserve">1. Open My Bentley App with valid credentials either from Apple or Android mobile devices 
( My Bentley App --&gt; LOGIN OR REGISTER --&gt; Email --&gt; Enter valid email id --&gt; NEXT --&gt; Enter the Password --&gt; NEXT --&gt; Vehicle 'DASHBOARD' screen )
2. Check for VTS [Vehicle Tracking System / Stolen Vehicle Tracking] status displayed under 'STOLEN VEHICLE TRACKING' section in 'CAR REMOTE' screen of My Bentley App when VTS service is ON 
3. Launch 'STOLEN VEHICLE TRACKING' service from CAR REMOTE screen
(CAR REMOTE --&gt; STOLEN VEHICLE TRACKING --&gt; 'Configure' tab) 
4. Try enabling 'Garage Mode'  
5. Click on 'OK'
6. Try deactivating 'Transport Mode'
a. Disable 'Transport Mode'' 
b. Click on 'SYNC TO CAR' button
c. Enter 4 digit 'SPIN'
7. Now try activating 'Garage Mode' 
a. Enable 'Garage Mode' 
b. Select the hours and minutes(User can enable up to 192 hours)
c. Click on 'SYNC TO CAR' button
d. Enter 4 digit 'SPIN'
8. Check for 'Garage Mode' status under 'STOLEN VEHICLE TRACKING - My Alerts' screen
( My Bentley App 'DASHBOARD' --&gt; CAR REMOTE --&gt; STOLEN VEHICLE TRACKING  --&gt; 'My Alerts' tab ) </t>
  </si>
  <si>
    <t>1. My Bentley App is launched successfully and focus is in vehicle 'DASHBOARD' screen
2. VTS [Vehicle Tracking System / Stolen Vehicle Tracking] status 'Active' should be displayed under 'STOLEN VEHICLE TRACKING' section in 'CAR REMOTE' screen of My Bentley App screen
3. VTS  - 'STOLEN VEHICLE TRACKING -Configure' screen is launched displaying : 
a. Transport Mode : 'Enable' / 'Disable' option
b. Garage Mode : 'Enable' / 'Disable' option
c. Deactivation Mode : 'Enable' / 'Disable' option
d. Button : 'SYNC TO CAR'
4. User should be displayed with some kind of message stating 'Please disable active mode - Only one configuration can be enabled at a time. Please enable only the desired mode and 'Sync to car'.' with 'OK' button
5. Screen focus should go to 'STOLEN VEHICLE TRACKING - Configure' screen
6. 'Transport Mode' should be deactivated successfully without any issues
7. 'Garage Mode' should be activated successfully without any issues(i.e. It prevents false alarms when vehicle is undergoing maintenance and repairs done to it)
8. 'STOLEN VEHICLE TRACKING - My Alerts' screen should display status 'GARAGE MODE ENABLED - Active until XX:YY Time , Day Info'</t>
  </si>
  <si>
    <t>Requesting VTS Customer Support Team to enable the 'Transport Mode'</t>
  </si>
  <si>
    <t xml:space="preserve">• My Bentley App is installed in either Apple or Android mobile devices
• Log-In to My Bentley App with valid credentials
• Internet Service should be enabled </t>
  </si>
  <si>
    <t xml:space="preserve">
• Valid VTS [Vehicle Tracking System / Stolen Vehicle Tracking] License is available
• Vehicle is provisioned with VTS [Vehicle Tracking System / Stolen Vehicle Tracking] Service
• Primary User Nomination process is successfully completed
• Transport Mode = Off
• Garage Mode = Off
• Deactivation Mode = Off
• Primary User Nomination process is successfully completed</t>
  </si>
  <si>
    <t xml:space="preserve">1. Initiate a call to VTS Customer Support Team
2. Request the VTS Customer Support Team to activate 'Transport Mode'
3. Check for 'Transport Mode' status under 'STOLEN VEHICLE TRACKING - My Alerts' screen
( My Bentley App 'DASHBOARD' --&gt; CAR REMOTE --&gt; STOLEN VEHICLE TRACKING  --&gt; 'My Alerts' tab ) </t>
  </si>
  <si>
    <t>1. Call initiation to VTS Customer Support Team should be successfull
2. VTS Customer Support Team should activate the requested 'Transport Mode' from their end
3. 'STOLEN VEHICLE TRACKING - My Alerts' screen should display status 'TRANSPORT MODE ENABLED - Active until XX:YY Time , Day Info'</t>
  </si>
  <si>
    <t>• Primary User Nomination process is successfully completed
• Transport Mode = On / Garage Mode = On / Deactivation Mode = On (i.e. Activate only one special mode at a time)
• Primary User Nomination process is successfully completed</t>
  </si>
  <si>
    <t xml:space="preserve">1. Initiate a call to VTS Customer Support Team
2. Request the VTS Customer Support Team to deactivate 'Garage Mode' / 'Transport Mode' / 'Deactivation Mode'
3. Check for special mode status (i.e. 'Garage Mode' / 'Transport Mode' / 'Deactivation Mode') under 'STOLEN VEHICLE TRACKING - My Alerts' screen
( My Bentley App 'DASHBOARD' --&gt; CAR REMOTE --&gt; STOLEN VEHICLE TRACKING  --&gt; 'My Alerts' tab ) </t>
  </si>
  <si>
    <t xml:space="preserve">1. Call initiation to VTS Customer Support Team should be successful
2. VTS Customer Support Team should deactivate the requested special mode(i.e. 'Garage Mode' / 'Transport Mode' / 'Deactivation Mode') from their end
3. 'STOLEN VEHICLE TRACKING - My Alerts' screen should not display status of ['Garage Mode' / 'Transport Mode' / 'Deactivation Mode'] if deactivated </t>
  </si>
  <si>
    <t xml:space="preserve">Requesting VTS Customer Support Team to enable / disable all special modes ['Garage Mode' , 'Transport Mode' &amp; 'Deactivation Mode'] at once
</t>
  </si>
  <si>
    <t xml:space="preserve">
• Valid VTS [Vehicle Tracking System / Stolen Vehicle Tracking] License is available
• Vehicle is provisioned with VTS [Vehicle Tracking System / Stolen Vehicle Tracking] Service
• Primary User Nomination process is successfully completed
• Transport Mode = Off
• Garage Mode = Off
• Deactivation Mode = Off</t>
  </si>
  <si>
    <t xml:space="preserve">1. Initiate a call to VTS Customer Support Team
2. Request the VTS Customer Support Team to activate all special modes ['Garage Mode' , 'Transport Mode' &amp; 'Deactivation Mode'] at once
3. Check for special mode status (i.e. 'Garage Mode' , 'Transport Mode' &amp; 'Deactivation Mode') under 'STOLEN VEHICLE TRACKING - Configure' screen when all special modes are activated at once
( My Bentley App 'DASHBOARD' --&gt; CAR REMOTE --&gt; STOLEN VEHICLE TRACKING  --&gt; 'Configure' tab ) 
4. Request the VTS Customer Support Team to dectivate all special modes ['Garage Mode' , 'Transport Mode' &amp; 'Deactivation Mode'] at once
5. Check for special mode status (i.e. 'Garage Mode' , 'Transport Mode' &amp; 'Deactivation Mode') under 'STOLEN VEHICLE TRACKING - Configure' screen when all special modes are deactivated at once
( My Bentley App 'DASHBOARD' --&gt; CAR REMOTE --&gt; STOLEN VEHICLE TRACKING  --&gt; 'Configure' tab ) </t>
  </si>
  <si>
    <t>1. Call initiation to VTS Customer Support Team should be successful
2. VTS Customer Support Team should enable the requested ['Garage Mode' , 'Transport Mode' &amp; 'Deactivation Mode'] from their end at once
3. 'STOLEN VEHICLE TRACKING - Configure' screen should display all special modes status as active ['Garage Mode' = Enabled , 'Transport Mode' = Enabled  , 'Deactivation Mode' = Enabled]
4. VTS Customer Support Team should disable the requested ['Garage Mode' , 'Transport Mode' &amp; 'Deactivation Mode'] from their end at once
5. 'STOLEN VEHICLE TRACKING - Configure' screen should display all special modes status as active ['Garage Mode' = Disabled , 'Transport Mode' = Disabled  , 'Deactivation Mode' = Disabled]</t>
  </si>
  <si>
    <t>Check whether VTS [Vehicle Tracking System / Stolen Vehicle Tracking] theft alert triggered when vehicle is manually driven &gt;8 Km/hr OR &gt;500 m without a driver card present - [Ignition = ON, Garage Mode = OFF , Transport Mode = OFF , Deactivation Mode = OFF]</t>
  </si>
  <si>
    <t xml:space="preserve">
• Valid VTS [Vehicle Tracking System / Stolen Vehicle Tracking] License is available
• Vehicle is provisioned with VTS [Vehicle Tracking System / Stolen Vehicle Tracking] Service
• Primary User Nomination process is successfully completed
• Transport Mode = Off
• Garage Mode = Off
• Deactivation Mode = Off
• VTS [Vehicle Tracking System / Stolen Vehicle Tracking] Service activated Driver Card not present in vehicle
1• Customer and Vehicle are present in the registered country and is latched to a Parent Network(i.e. Ex : Vodafone UK)</t>
  </si>
  <si>
    <t>1. Start the Vehicle(i.e. Ignition ON)
2. Confirm whether 'Transport Mode' , 'Garage Mode' and 'Deactivation Mode' is disabled via My Bentley App under 'STOLEN VEHICLE TRACKING - Configure' screen
3. Move or Drive the vehicle greater then 8 Km/hr OR greater than 500 m without Driver Card in it
4. Now check after sometime, whether VTS [Vehicle Tracking System / Stolen Vehicle Tracking] Alert or Notification comes to customer via Phone Call from VTS Customer Support Centre when vehicle is driven more than 8 Km/hr without a Driver Card</t>
  </si>
  <si>
    <t>1. Ignition is ON and HMI screen is up
2. 'STOLEN VEHICLE TRACKING - Configure' screen should display special mode status as : 
a. 'Garage Mode' = Off
b. 'Transport Mode' = Off
c. 'Deactivation Mode' = Off
3.  Vehicle is moved &gt;8 Km/hr OR &gt;500 m without driver card in it
4.  Customer should receive a VTS [Vehicle Tracking System / Stolen Vehicle Tracking] theft notification i.e. via Phone call from VTS Customer Support Team about the incident when vehicle is driven more than 8 Km/hr without a Driver Card</t>
  </si>
  <si>
    <t>Check whether VTS [Vehicle Tracking System / Stolen Vehicle Tracking] theft alert triggered when vehicle is manually driven &gt;500 m &amp; Speed &gt; 8 Km/hr without a driver card present - [Ignition = ON , Garage Mode = ON , Transport Mode = OFF , Deactivation Mode = OFF]</t>
  </si>
  <si>
    <t xml:space="preserve">
• Valid VTS [Vehicle Tracking System / Stolen Vehicle Tracking] License is available
• Vehicle is provisioned with VTS [Vehicle Tracking System / Stolen Vehicle Tracking] Service
• Primary User Nomination process is successfully completed
• Transport Mode = Off
• Garage Mode = On
• Deactivation Mode = Off
• VTS [Vehicle Tracking System / Stolen Vehicle Tracking] Service activated Driver Card not present in vehicle
1• Customer and Vehicle are present in the registered country and is latched to a Parent Network(i.e. Ex : Vodafone UK)</t>
  </si>
  <si>
    <t>1. Start the Vehicle(i.e. Ignition ON)
2. Confirm whether 'Transport Mode' , 'Deactivation Mode' are disabled and 'Garage Mode' is enabled via My Bentley App under 'STOLEN VEHICLE TRACKING - Configure' screen
3. Move or Drive the vehicle greater then 500 m &amp; Speed greater then 8 Km/hr without Driver Card in it
4. Now check after sometime, whether VTS [Vehicle Tracking System / Stolen Vehicle Tracking] Alert or Notification comes to customer via Phone Call from VTS Customer Support Centre when vehicle is driven more than 500 m &amp; Speed &gt; 8 Km/Hr without a Driver Card</t>
  </si>
  <si>
    <t>1.  Ignition is ON and HMI screen is up
2. 'STOLEN VEHICLE TRACKING - Configure' screen should display special mode status as : 
a. 'Garage Mode' = On
b. 'Transport Mode' = Off
c. 'Deactivation Mode' = Off
3. Vehicle is moved &gt;500 m &amp; Speed &gt;8 Km/hr without driver card in it
4. Customer should receive a VTS [Vehicle Tracking System / Stolen Vehicle Tracking] theft notification i.e. via Phone call from VTS Customer Support Team about the incident when vehicle is driven &gt;500 m &amp; Speed &gt;8 Km/hr without a Driver Card</t>
  </si>
  <si>
    <t>Check whether VTS [Vehicle Tracking System / Stolen Vehicle Tracking] theft alert triggered when vehicle is manually driven &gt;500 m &amp; Speed &gt; 8 Km/Hr without a driver card present - [Ignition = ON , Garage Mode = OFF , Transport Mode = ON , Deactivation Mode = OFF]</t>
  </si>
  <si>
    <t xml:space="preserve">
• Valid VTS [Vehicle Tracking System / Stolen Vehicle Tracking] License is available
• Vehicle is provisioned with VTS [Vehicle Tracking System / Stolen Vehicle Tracking] Service
• Primary User Nomination process is successfully completed
• Transport Mode = On
• Garage Mode = Off
• Deactivation Mode = Off
• VTS [Vehicle Tracking System / Stolen Vehicle Tracking] Service activated Driver Card not present in vehicle
1• Customer and Vehicle are present in the registered country and is latched to a Parent Network(i.e. Ex : Vodafone UK)</t>
  </si>
  <si>
    <t>1. Start the Vehicle(i.e. Ignition ON)
2. Confirm whether 'Garage Mode' , 'Deactivation Mode' are disabled and 'Transport Mode' is enabled via My Bentley App under 'STOLEN VEHICLE TRACKING - Configure' screen
3. Move or Drive the vehicle greater then 500 m &amp; Speed greater then 8 Km/hr without Driver Card in it
4. Now check after sometime, whether VTS [Vehicle Tracking System / Stolen Vehicle Tracking] Alert or Notification comes to customer via Phone Call from VTS Customer Support Centre when vehicle is driven more than 500 m &amp; Speed &gt; 8 Km/Hr without a Driver Card</t>
  </si>
  <si>
    <t>1.  Ignition is ON and HMI screen is up
2. 'STOLEN VEHICLE TRACKING - Configure' screen should display special mode status as : 
a. 'Garage Mode' = Off
b. 'Transport Mode' = On
c. 'Deactivation Mode' = Off
3. Vehicle is moved &gt;500 m &amp; Speed &gt;8 Km/hr without driver card in it
4. Customer should not receive a VTS [Vehicle Tracking System / Stolen Vehicle Tracking] theft notification i.e. via Phone call from VTS Customer Support Team about the incident when vehicle is driven &gt;500 m &amp; Speed &gt;8 Km/hr without a Driver Card</t>
  </si>
  <si>
    <t>Check whether VTS [Vehicle Tracking System / Stolen Vehicle Tracking] theft alert not triggered when vehicle is manually driven &gt;500 m &amp; Speed &gt; 8 Km/Hr without a driver card present - [Ignition = ON , Garage Mode = OFF , Transport Mode = OFF , Deactivation Mode = ON]</t>
  </si>
  <si>
    <t xml:space="preserve">
• Valid VTS [Vehicle Tracking System / Stolen Vehicle Tracking] License is available
• Vehicle is provisioned with VTS [Vehicle Tracking System / Stolen Vehicle Tracking] Service
• Primary User Nomination process is successfully completed
• Transport Mode = Off
• Garage Mode = Off
• Deactivation Mode = On
• VTS [Vehicle Tracking System / Stolen Vehicle Tracking] Service activated Driver Card not present in vehicle
1• Customer and Vehicle are present in the registered country and is latched to a Parent Network(i.e. Ex : Vodafone UK)</t>
  </si>
  <si>
    <t>1. Start the Vehicle(i.e. Ignition ON)
2. Confirm whether 'Garage Mode' , 'Transport Mode' are disabled and 'Deactivation Mode' is enabled via My Bentley App under 'STOLEN VEHICLE TRACKING - Configure' screen
3. Move or Drive the vehicle greater then 500 m &amp; Speed greater then 8 Km/hr without Driver Card in it
4. Now check after sometime, whether VTS [Vehicle Tracking System / Stolen Vehicle Tracking] Alert or Notification comes to customer via Phone Call from VTS Customer Support Centre when vehicle is driven more than 500 m &amp; Speed &gt; 8 Km/Hr without a Driver Card</t>
  </si>
  <si>
    <t>1.  Ignition is ON and HMI screen is up
2. 'STOLEN VEHICLE TRACKING - Configure' screen should display special mode status as : 
a. 'Garage Mode' = Off
b. 'Transport Mode' = Off
c. 'Deactivation Mode' = On
3. Vehicle is moved &gt;500 m &amp; Speed &gt;8 Km/hr without driver card in it
4. Customer should not receive a VTS [Vehicle Tracking System / Stolen Vehicle Tracking] theft notification i.e. via Phone call from VTS Customer Support Team about the incident when vehicle is driven &gt;500 m &amp; Speed &gt;8 Km/hr without a Driver Card</t>
  </si>
  <si>
    <t>Verify manual VTS [Vehicle Tracking System / Stolen Vehicle Tracking] Theft Mode initiation when Customer reports theft by calling to to VTS Customer Support Centre Agent</t>
  </si>
  <si>
    <t>• VTS [Vehicle Tracking System / Stolen Vehicle Tracking] Service activated Driver Card not present in vehicle
• Primary User Nomination process is successfully completed
• Customer (Tester-1) and Vehicle are present in the registered country and is latched to a Parent Network(i.e. Ex : Vodafone UK)
• Driver(Tester-2) available for driving the vehicle in order to validate the test scenario</t>
  </si>
  <si>
    <t>1. Ask Driver (Tester-2) to : Start the Vehicle(i.e. Ignition ON)
2. Ask Driver (Tester-2) to : Move or Drive the vehicle greater then 500 m &amp; Speed greater then 8 Km/hr without Driver Card in it'
3. From Your end(Tester -1)  : Initiate a call to VTS Customer Support Centre Agent and ask them to initiate a VTS [Vehicle Tracking System / Stolen Vehicle Tracking] Theft tracking
(i.e. Inform the VTS Customer Support Centre Agent that the call is a Bentley test call and ask them to initiate a VTS theft tracking for test purpose)
4. Check the vehicle HMI screen when VTS [Vehicle Tracking System / Stolen Vehicle Tracking] Theft tracking is initiated
5. Launch My Bentley App and check 'Theft Mode' is displayed disabling all other services</t>
  </si>
  <si>
    <t>1. Ignition is ON and HMI screen is up
2. Vehicle is moved &gt;500 m &amp; Speed &gt;8 Km/Hr with driver card in it
3. VTS [Vehicle Tracking System / Stolen Vehicle Tracking] Theft tracking of vehicle is initiated successfully from VTS Customer Support Centre
4. Vehicle HMI services should be accessible but the services should not work until unless the theft is deactivated
5. When VTS Theft tracking is initiated, then My Bentley App should display Theft Mode disabling all other services</t>
  </si>
  <si>
    <t>Verify VTS [Vehicle Tracking System / Stolen Vehicle Tracking] Theft Mode not initiated when VTS False Alert is triggered</t>
  </si>
  <si>
    <t xml:space="preserve">
• My Bentley App is installed in either Apple or Android mobile devices
• Internet Service should be enabled </t>
  </si>
  <si>
    <t xml:space="preserve">
• Valid VTS [Vehicle Tracking System / Stolen Vehicle Tracking] License is available
• Vehicle is provisioned with VTS [Vehicle Tracking System / Stolen Vehicle Tracking] Service
• Customer (Tester -1 ) and Vehicle are present in the registered country and is latched to a Parent Network(i.e. Ex : Vodafone UK)
• Primary User Nomination process is successfully completed
• Drive the vehicle without driver card (Tester - 1) for &gt;500 m</t>
  </si>
  <si>
    <t>1. Initiate a call to VTS Customer Support Centre Agent and inform them about VTS false trigger(i.e. Since the vehicle is not stolen)
2. Check the vehicle HMI screen when no VTS [Vehicle Tracking System / Stolen Vehicle Tracking] Theft tracking is activated
3. Launch My Bentley App and check whether all services are working</t>
  </si>
  <si>
    <t>1. VTS Theft tracking should not be initiated from VTS Customer Support Centre during VTS false triggers
2. All HMI services should be active and should work fine when no VTS [Vehicle Tracking System / Stolen Vehicle Tracking] Theft tracking is activated
3. All My Bentley App services should be active and should work as expected</t>
  </si>
  <si>
    <t>Verify the HMI services when VTS [Vehicle Tracking System / Stolen Vehicle Tracking] Theft is initiated</t>
  </si>
  <si>
    <t xml:space="preserve">
• Valid VTS [Vehicle Tracking System / Stolen Vehicle Tracking] License is available
• Vehicle is provisioned with VTS [Vehicle Tracking System / Stolen Vehicle Tracking] Service
• VTS [Vehicle Tracking System / Stolen Vehicle Tracking] Service activated Driver Card not present in vehicle
• Primary User Nomination process is successfully completed
• Customer and Vehicle are present in the registered country and is latched to a Parent Network(i.e. Ex : Vodafone UK)</t>
  </si>
  <si>
    <t>1. Start the Vehicle(i.e. Ignition ON)
2. Move or Drive the vehicle greater then 500 m &amp; Speed greater then 8 Km/hr without Driver Card in it
3. After sometime,VTS [Vehicle Tracking System / Stolen Vehicle Tracking] Alert or Notification comes to customer via Phone Call from VTS Customer Support Centre when vehicle is driven without a Driver Card
4. Answer the VTS [Vehicle Tracking System / Stolen Vehicle Tracking] Theft Call received from VTS Customer Support Centre
5. Inform the VTS [Vehicle Tracking System / Stolen Vehicle Tracking] Customer Centre team that it is a test call and ask them to initiate a VTS [Vehicle Tracking System / Stolen Vehicle Tracking] Theft tracking of vehicle
6. Verify the below services in HMI when VTS [Vehicle Tracking System / Stolen Vehicle Tracking] Theft is initiated
 a. News
 b. Weather
 c. Satellite Maps
 d. Real Time Traffic Information ….etc.</t>
  </si>
  <si>
    <t>1. Ignition is ON and HMI screen is up
2. Vehicle is moved &gt;500 m &amp; Speed &gt;8 Km/hr without driver card in it
3. Customer should receive a VTS [Vehicle Tracking System / Stolen Vehicle Tracking] theft notification i.e. via Phone call from VTS Customer Support Team about the incident when a vehicle is being moved without a Driver Card (Distance : &gt;500 m &amp; Speed : &gt;8Km/hr) while Forced Unset Mode is 'ON'
4. VTS [Vehicle Tracking System / Stolen Vehicle Tracking] Phone Call from Customer Support should be answered without any issue
5. VTS [Vehicle Tracking System / Stolen Vehicle Tracking] Theft tracking of vehicle is initiated successfully from Vodafone Customer Support Centre
6. All services(i.e. Coloured Infotainment Services) in HMI should not work when VTS [Vehicle Tracking System / Stolen Vehicle Tracking] Theft is initiated</t>
  </si>
  <si>
    <t>Verify that only Theft Mode is displayed in My Bentley App and blocking all other services when VTS [Vehicle Tracking System / Stolen Vehicle Tracking] Theft is initiated</t>
  </si>
  <si>
    <t>1. Start the Vehicle(i.e. Ignition ON)
2. Move or Drive the vehicle greater then 500 m &amp; Speed greater then 8 Km/Hr without Driver Card in it
3. After sometime,VTS [Vehicle Tracking System / Stolen Vehicle Tracking] Alert or Notification comes to customer via Phone Call from VTS Customer Support Centre when vehicle is driven without a Driver Card
4. Answer the VTS [Vehicle Tracking System / Stolen Vehicle Tracking] Theft Call received from Vodafone VTS Customer Support Centre
5. Inform the VTS [Vehicle Tracking System / Stolen Vehicle Tracking] Customer Centre Agent that it is a test call and ask them to initiate a VTS Theft tracking of vehicle
6. Launch My Bentley App --&gt; Car Remote --&gt; STOLEN VEHICLE TRACKING and check 'Theft Mode' is displayed disabling all other VTS [Vehicle Tracking System / Stolen Vehicle Tracking] services</t>
  </si>
  <si>
    <t>1. Ignition is ON and HMI screen is up
2. Vehicle is moved &gt;500 m &amp; Speed &gt;8 Km/hr without driver card in it
3. Customer should receive a VTS [Vehicle Tracking System / Stolen Vehicle Tracking] theft notification i.e. via Phone call from VTS Customer Support Team about the incident while vehicle is being moved without a Driver Card in it while Forced Unset Mode is 'ON'
4. VTS [Vehicle Tracking System / Stolen Vehicle Tracking] Phone Call from Customer Support should be answered without any issue
5. VTS Theft tracking of vehicle is initiated successfully from VTS Customer Support Centre
6. When VTS [Vehicle Tracking System / Stolen Vehicle Tracking] Theft tracking is initiated, then My Bentley App should display Theft Mode disabling all other VTS [Vehicle Tracking System / Stolen Vehicle Tracking] services</t>
  </si>
  <si>
    <t>Examination of damaged Driver Card in vehicle</t>
  </si>
  <si>
    <t xml:space="preserve">
• My Bentley App is installed on IOS / ANDROID mobile device
• Log-In to My Bentley App with valid credentials
• VTS [Vehicle Tracking System / Stolen Vehicle Tracking] License is active and in use
• Internet Service should be enabled </t>
  </si>
  <si>
    <t xml:space="preserve">
• HU is up and focus is in HMI screen
• Vehicle is provisioned with VTS [Vehicle Tracking System / Stolen Vehicle Tracking] Service and is active
• Damage the Driver Card(i.e. Remove the Driver Card Battery)
• VTS [Vehicle Tracking System / Stolen Vehicle Tracking] Service activated but damaged Driver Card present in vehicle
• Primary User Nomination process is successfully completed
• VTS [Vehicle Tracking System / Stolen Vehicle Tracking] License is active and in use</t>
  </si>
  <si>
    <t>1. Start the Vehicle(i.e. Ignition ON)
2. My Bentley App : Go to CAR REMOTE screen in My Bentley App and check VTS [Vehicle Tracking System / Stolen Vehicle Tracking] status under 'STOLEN VEHICLE TRACKING' section
( My Bentley App --&gt; LOGIN OR REGISTER --&gt; Email --&gt; Enter valid email id --&gt; NEXT --&gt; Enter the Password --&gt; NEXT --&gt; Vehicle 'DASHBOARD' screen ) ( My Bentley App --&gt; LOGIN OR REGISTER --&gt; Email --&gt; Enter valid email id --&gt; NEXT --&gt; Enter the Password --&gt; NEXT --&gt; Vehicle 'DASHBOARD' screen --&gt; CAR REMOTE )
3. Engine Off(i.e. Ignition OFF)
4. After 2 minutes --&gt; Ignition ON --&gt;, Move or Drive the vehicle greater then 500 m &amp; Speed greater then 8 Km/hr with deactivated Driver Card in it
5. Check whether customer will receive a VTS theft notification(i.e. via Phone Call from VTS Customer Support Team) when vehicle is moved &gt;500 m &amp; Speed &gt;8 Km/hr with a damaged driver card in vehicle</t>
  </si>
  <si>
    <t>1. Ignition is ON and HMI screen is up
2. VTS [Vehicle Tracking System / Stolen Vehicle Tracking] status should display as 'Active' under 'STOLEN VEHICLE TRACKING' section in CAR REMOTE screen of My Bentley App
3. Car Engine is turned Off successfully
4. Vehicle is moved &gt;500 m &amp; Speed &gt;8 Km/hr without driver card in it
5. The Customer of vehicle should receive a VTS theft notification i.e. via Phone call from VTS Customer Support Team about the incident</t>
  </si>
  <si>
    <t>Vehicle VTS [Vehicle Tracking System / Stolen Vehicle Tracking] Ownership change process</t>
  </si>
  <si>
    <t xml:space="preserve">
• HU is up and focus is in HMI screen
• Vehicle is provisioned with VTS [Vehicle Tracking System / Stolen Vehicle Tracking] Service and is active
• VTS [Vehicle Tracking System / Stolen Vehicle Tracking] Service activated Driver Card present in vehicle
• Primary User Nomination process for first user is successfully completed
• New Owner Bentley Account available(i.e. New User My Bentley Account available)
• VTS [Vehicle Tracking System / Stolen Vehicle Tracking] License is active and in use</t>
  </si>
  <si>
    <t>1. Remove vehicle VIN from Main User from My Bentley App
2. Add VIN to New User Bentley Account(i.e. Login to My Bentley App with new user credentials and add the VIN)
3. Login to My Bentley App and check whether recently added Vehicle is displayed
4. Perform Driver Card Linking Process(i.e. Driver Card Activation Script run via Dealer ODIS Tool)
5. Launch My Bentley App once again with valid credentials either from Apple or Android mobile devices
6. Check for VTS [Vehicle Tracking System / Stolen Vehicle Tracking] status displayed under Vehicle DASHBOARD screen or STOLEN VEHICLE TRACKING(CAR REMOTE screen) in My Bentley App when VTS [Vehicle Tracking System / Stolen Vehicle Tracking] Service Activation is 'Not Activated'
7. Click on 'ACTIVATE VEHICLE TRACKING' button from Vehicle DASHBOARD screen
 OR
Click on 'ACTIVATE VEHICLE TRACKING' button from 'STOLEN VEHICLE TRACKING-CAR REMOTE screen'
8. Select the suitable language + Accept all conditions and Click on 'CONFIRM' button
9. Enter 'First Name' , 'Last Name' , 'Email Address' and Click on 'CONTINUE' button
10. Enter valid address details and Click on 'CONTINUE' button
11. Enter the valid mobile number and Click on 'CONTINUE' button
12. Click on 'Confirm' on the Mobile Number Confirmation Message
13. Enter the verification code(Ex : 111111) in VTS [Vehicle Tracking System / Stolen Vehicle Tracking] - VERIFY YOUR MOBILE NUMBER screen and Click on 'Verify' button
14. Selecting 'Continue' button on 'SUCCESSFULLY VERIFIED MOBILE' screen
15. Enter valid phone numbers under Mobile Number 2 &amp; Mobile Number 3 fields and Click on 'Continue' button
16. Click on 'Confirm' on the Additional Mobile Numbers Confirmation Message
17. Enter Range , Model and Vehicle Colour details and Click on 'Continue' button
18. Click on 'Confirm' on Bentley Vehicle Details Confirmation Message
19. Select Country of registration and Security language details and Click on 'Confirm' button
20. Select the suitable security question along with the suitable answer and Click on 'Confirm' button
21. Click on 'Confirm' on Confirm your answer Confirmation Message
22. Click on 'RETURN TO MY SERVICES' button
23. Click on 'STOLEN VEHICLE TRACKING' in CAR REMOTE screen
24. Once the VTS [Vehicle Tracking System / Stolen Vehicle Tracking] License is activated, Check 'STOLEN VEHICLE TRACKING' section in CAR REMOTE screen</t>
  </si>
  <si>
    <t>1. VIN removal should be successfull &amp; VTS [Vehicle Tracking System / Stolen Vehicle Tracking] contract should be deleted(Need to check with VTS Customer Support Call Centre Agent for confirmation related to VTS Contract Turned Off)'
2. VIN successfully added to new user Bentley account
Note : VIN adding to Bentley Account may take up to 24 Hrs'
3. The recently added Vehicle should be displayed in My Bentley App
4. Driver Card Linking Process should be done successfully
5. My Bentley App is launched successfully and focus is in vehicle 'DASHBOARD' screen
6. * My Bentley App (DASHBOARD screen) : PLEASE ACTIVATE YOUR STOLEN VEHICLE TRACKING
 Message : Your Bentley includes our all new vehicle tracking service, helping you to keep your Bentley safe.
 Button : ACTIVATE VEHICLE TRACKING
 Activation Prompt(Vehicle Symbol) should be active in DASHBOARD screen
* STOLEN VEHICLE TRACKING(CAR REMOTE screen) : 
 VTS [Vehicle Tracking System / Stolen Vehicle Tracking] status ''Not Activated'' should be displayed under 'STOLEN VEHICLE TRACKING' section(CAR REMOTE screen) in My Bentley App'
7. VTS - ACTIVATE YOUR STOLEN VEHICLE TRACKING screen should launch displaying below options : 
 - Customer should be allowed to select the the language
 - Accept Terms of Use
 - Accept Terms &amp; Conditions
 - Accept Privacy Policy
 - Button : 'CONFIRM'
8. VTS - ADD YOUR DETAILS screen should launch displaying below options : 
 - First Name
 - Last Name
 - Email Address
 - Button : 'CONTINUE'
9. VTS - ADD YOUR ADDRESS screen should launch displaying below options : 
 - Country
 - Address : Address Line 2 &amp; Address Line 3
 - City
 - Postcode
 - State(NAR)
 - Button : CONTINUE'
10. VTS - ADD YOUR MOBILE NUMBER screen should launch displaying below options : 
 - Country Code
 - Mobile Number
 - Button : 'CONTINUE'
11. Confirmation Message : Confirm your mobile number is displayed with below mentioned options
 - Edit
 - Confirm'
12. Clicking on 'Confirm' on the Mobile Number Confirmation Message should send a 6-digit verification code to the recently added mobile number via SMS 
AND
VTS - VERIFY YOUR MOBILE NUMBER screen should launch displaying below options : 
a. Message : Please enter the 6-digit verification code we have just sent to you via SMS 
b. Place holder to enter the Verification Code
c. Button : VERIFY
d. Not received a code? : Send a new verification code(SEND &amp; CANCEL soft keys)'
13. Message : SUCCESSFULLY VERIFIED MOBILE(Your mobile number has been verified successfully) need to be displayed along with 'CONTINUE' button
14. VTS - ADD ADDITIONAL MOBILE NUMBERS screen should be launched displaying
 - Mobile number 2(optional)
 - Mobile number 3(optional)
 - Button : 'CONTINUE'
 - Button : 'SKIP THIS STEP'
15. Confirmation Message : Confirm your additional mobile numbers along with optional numbers entered is displayed with below mentioned options
 - Edit
 - Confirm
16. VTS [Vehicle Tracking System / Stolen Vehicle Tracking] - ADD YOUR BENTLEY screen should launch displaying below options : 
 - Range (Ex : Flying Spur)
 - Model (Ex : Flying Spur V8 S)
 - Vehicle colour (Ex : Red) 
 - Button : 'CONTINUE'
17. Confirmation Message : Confirm your Bentley along with vehicle details is displayed with below mentioned options
 - Edit
 - Confirm
18. VTS [Vehicle Tracking System / Stolen Vehicle Tracking] - CONFIRM YOUR SECURITY LANGUAGE screen should launch displaying below options : 
 - Country of registration (Ex : England)
 - Security language (Ex : English)
 - Button : 'CONFIRM'
19. VTS - CONFIRM YOUR SECURITY QUESTION screen should launch displaying below options : 
Message : Please select and answer a security question from the options available 
 - What is the name of your first pet?
 - Where is your place of birth?
 - What was the name of your first school?
 - Your Answer(Select &amp; Answer the security question)
 - Button : 'CONFIRM'
20. Confirmation Message : Confirm your answer along with entered security answer for the selected security question details is displayed with below mentioned options
 - Edit
 - Confirm
21. VTS [Vehicle Tracking System / Stolen Vehicle Tracking] - ACTIVATION SUBMITTED message need to be displayed : 
Message : Your vehicle request activation has been submitted. This will now be processed and could take up to 2 working days.- We will contact you via SMS when your STOLEN VEHICLE TRACKING is fully active 
 - Button : 'RETURN TO MY SERVICES'
22.  screen Focus should take to CAR REMOTE screen displaying 'STOLEN VEHICLE TRACKING' status as 'License Pending' 
23. VTS - STOLEN VEHICLE TRACKING screen should be launched displaying : 
 - Vehicle Tracking tab 
 - Status : VEHICLE TRACKING ACTIVATION PENDING
 - Message : Your vehicle activation request has been submitted. This will be processed and could take up to 2 working days. - We will contact you via SMS and notify your via the My Bentley app when your vehicle tracking is active 
 - 'My Alerts' tab
 -  Consists of My Alarm History(i.e. Theft Alarms such as 'Interior Alarm' / 'Break-in alarm' / 'Trailer alarm' / 'Motion alarm' ….etc. )
24. VTS - STOLEN VEHICLE TRACKING screen should be launched displaying
 - 'My Alerts' tab : Displays VTS [Vehicle Tracking System / Stolen Vehicle Tracking] Alerts if any otherwise displays as 'No Alarms Active'
 - 'Configure' tab :
       a. Transport Mode
       b. Garage Mode
       c. Deactivation Mode
 - 'My Details' tab : 
       a. Certificate Details
       b. Contact Details : 'My Details' , Address , My Mobile Numbers , My Security Language , My Security Questions'</t>
  </si>
  <si>
    <t>Examination of VTS [Vehicle Tracking System / Stolen Vehicle Tracking] Alert Notification goes to new owner when ownership of vehicle is changed by the dealer</t>
  </si>
  <si>
    <t xml:space="preserve">
• HU is up and focus is in HMI screen
• Vehicle is provisioned with VTS [Vehicle Tracking System / Stolen Vehicle Tracking] Service and is active
• VTS [Vehicle Tracking System / Stolen Vehicle Tracking] Service activated Driver Card not present in vehicle
• Primary User Nomination process is successfully completed
• New Ownership details of vehicle is updated by the dealer
• Log-In to My Bentley App with valid credentials
• VTS [Vehicle Tracking System / Stolen Vehicle Tracking] License is active and in use</t>
  </si>
  <si>
    <t>1. Start the Vehicle(i.e. Ignition ON)
2. My Bentley App : Go to CAR REMOTE screen in My Bentley App and check VTS [Vehicle Tracking System / Stolen Vehicle Tracking] status under 'STOLEN VEHICLE TRACKING' section
( My Bentley App --&gt; LOGIN OR REGISTER --&gt; Email --&gt; Enter valid email id --&gt; NEXT --&gt; Enter the Password --&gt; NEXT --&gt; Vehicle 'DASHBOARD' screen ) ( My Bentley App --&gt; LOGIN OR REGISTER --&gt; Email --&gt; Enter valid email id --&gt; NEXT --&gt; Enter the Password --&gt; NEXT --&gt; Vehicle 'DASHBOARD' screen --&gt; CAR REMOTE)
3. Engine Off(i.e. Ignition OFF)
4. After 2 minutes --&gt; Ignition ON --&gt;, Move or Drive the vehicle greater then 500 m &amp; Speed &gt;8 Km/hr without Driver Card in it
5. Check whether new customer will receive a VTS theft notification(via Phone Call from VTS Customer Support Team) when vehicle is moved &gt;500 m &amp; Speed &gt;8 Km/hr without driver card in vehicle</t>
  </si>
  <si>
    <t>1.  Ignition is ON and HMI screen is up
2.  VTS [Vehicle Tracking System / Stolen Vehicle Tracking] status should display as 'Active' under 'STOLEN VEHICLE TRACKING' section in CAR REMOTE screen of My Bentley App
3.  Car Engine is turned Off successfully
4.  Vehicle is moved &gt;500 m without driver card in it
5.  The new Customer or new owner of vehicle should receive a VTS theft notification i.e. via Phone call from VTS Customer Support Team about the incident
(i.e. The previous Customer or previous owner of vehicle should not receive a VTS theft notification i.e. via Phone call from Vodafone VTS Customer Support Team about the incident when the vehicle ownership is already transferred to a new owner)</t>
  </si>
  <si>
    <t>Examination of logging in to My Bentley mobile app with previous ownership id when ownership of vehicle is changed by the dealer</t>
  </si>
  <si>
    <t xml:space="preserve">
• Valid VTS [Vehicle Tracking System / Stolen Vehicle Tracking] License is available
• Vehicle is provisioned with VTS [Vehicle Tracking System / Stolen Vehicle Tracking] Service and is active
• Primary User Nomination process is successfully completed
• VTS [Vehicle Tracking System / Stolen Vehicle Tracking] License is active and in use</t>
  </si>
  <si>
    <t>1.  Login to My Bentley App with valid credentials of previous owner of the vehicle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whether the vehicle details are displayed in My Bentley App(Logged with valid credentials of previous owner) when ownership of vehicle is changed by the dealer</t>
  </si>
  <si>
    <t>1. My Bentley App is launched successfully and focus is in vehicle 'DASHBOARD' screen
2. Vehicle Information should not be displayed in My Bentley App using previous owner login credentials when ownership of vehicle is changed by the dealer</t>
  </si>
  <si>
    <t>Examination of deactivated Driver Card in vehicle</t>
  </si>
  <si>
    <t xml:space="preserve">
• My Bentley App is installed on IOS / ANDROID mobile device
• Log-In to My Bentley App with valid credentials
• Internet Service should be enabled </t>
  </si>
  <si>
    <t xml:space="preserve">
• HU is up and focus is in HMI screen
• Vehicle is provisioned with VTS [Vehicle Tracking System / Stolen Vehicle Tracking] Service and is active
• VTS [Vehicle Tracking System / Stolen Vehicle Tracking] Service deactivated Driver Card present in vehicle(i.e. Remove Battery of Driver Card)
• Primary User Nomination process is successfully completed
• VTS [Vehicle Tracking System / Stolen Vehicle Tracking] License is active and in use</t>
  </si>
  <si>
    <t>1. Start the Vehicle(i.e. Ignition ON)
2. My Bentley App : Go to CAR REMOTE screen in My Bentley App and check VTS [Vehicle Tracking System / Stolen Vehicle Tracking] status under 'STOLEN VEHICLE TRACKING' section
( My Bentley App --&gt; LOGIN OR REGISTER --&gt; Email --&gt; Enter valid email id --&gt; NEXT --&gt; Enter the Password --&gt; NEXT --&gt; Vehicle 'DASHBOARD' screen ) ( My Bentley App --&gt; LOGIN OR REGISTER --&gt; Email --&gt; Enter valid email id --&gt; NEXT --&gt; Enter the Password --&gt; NEXT --&gt; Vehicle 'DASHBOARD' screen --&gt; CAR REMOTE )
3. Engine Off(i.e. Ignition OFF)
4. After 2 minutes --&gt; Ignition ON --&gt;, Move or Drive the vehicle greater then 500 m &amp; Speed greater then 8 Km/hr with deactivated Driver Card in it
5. Check whether customer will receive a VTS [Vehicle Tracking System / Stolen Vehicle Tracking] theft notification(via Phone Call from Vodafone VTS Customer Support Team) when vehicle is moved &gt;500 m &amp; Speed &gt;8 Km/hr with a deactivated driver card in vehicle</t>
  </si>
  <si>
    <t>1. Ignition is ON and HMI screen is up
2. VTS [Vehicle Tracking System / Stolen Vehicle Tracking] status should display as 'Active' under 'STOLEN VEHICLE TRACKING' section in CAR REMOTE screen of My Bentley App
3. Car Engine is turned Off successfully
4. Vehicle is moved &gt;500 m &amp; Speed &gt; 8Km/hr without driver card in it
5. The Customer of vehicle should receive a VTS theft notification i.e. via Phone call from VTS Customer Support Team about the incident</t>
  </si>
  <si>
    <t>Checking whether Customer able to download the VTS [Vehicle Tracking System / Stolen Vehicle Tracking] certificate(i.e.  My VTS Certificate)</t>
  </si>
  <si>
    <t xml:space="preserve">• My Bentley App is installed in IOS / ANDROID device
• Log-In to My Bentley App with valid credentials
• VTS [Vehicle Tracking System / Stolen Vehicle Tracking] License is active and in use
• Internet Service should be enabled </t>
  </si>
  <si>
    <t xml:space="preserve">
• Valid VTS [Vehicle Tracking System / Stolen Vehicle Tracking] License is available 
• Vehicle is provisioned with VTS [Vehicle Tracking System / Stolen Vehicle Tracking] Service
• Primary User Nomination process is successfully completed
• Driver Card battery is present
• Driver Card is activated
• VTS [Vehicle Tracking System / Stolen Vehicle Tracking] License is active and in use</t>
  </si>
  <si>
    <t>1. Go to My Bentley App --&gt; CAR REMOTE --&gt; STOLEN VEHICLE TRACKING - section --&gt;  STOLEN VEHICLE TRACKING screen --&gt; 'My Details' - tab
2. Check whether Customer able to download the VTS [Vehicle Tracking System / Stolen Vehicle Tracking] certificate(i.e.  My VTS Certificate)</t>
  </si>
  <si>
    <t>1. STOLEN VEHICLE TRACKING screen: 'My Details' tab : Displays 'Certificate Details' &amp; 'Contact Details'
2. Customer should be allowed to download the 'My VTS Certificate' in pdf format to produce it to the insurance company
   AND 
The downloaded My STOLEN VEHICLE TRACKING Certificate certificate(pdf format) should be clearly visible and readable and can be sent to the insurance company without any issues</t>
  </si>
  <si>
    <t>Checking for Vodafone Customer Care Contact Details via My Bentley App(STOLEN VEHICLE TRACKING screen)</t>
  </si>
  <si>
    <t xml:space="preserve">
• My Bentley App is installed in IOS / ANDROID device
• Log-In to My Bentley App with valid credentials
• VTS [Vehicle Tracking System / Stolen Vehicle Tracking] License is active and in use
• Internet Service should be enabled </t>
  </si>
  <si>
    <t>1. Go to My Bentley App --&gt; CAR REMOTE --&gt; STOLEN VEHICLE TRACKING - section --&gt;  STOLEN VEHICLE TRACKING screen
2. Click on 'Contact Button' Icon in STOLEN VEHICLE TRACKING screen</t>
  </si>
  <si>
    <t>1. STOLEN VEHICLE TRACKING screen should display
 - tabs : 'My Alerts' , 'Configure' &amp; 'My Details'
 - ''Contact - Button'' Icon at the top right corner of screen
2. Clicking on 'Contact Button' Icon in STOLEN VEHICLE TRACKING screen displays Vodafone Customer Care Centre Contact details(Ex : +44 333 122 2222)</t>
  </si>
  <si>
    <t>Verify initiating call to VTS Customer Care Contact Details via My Bentley App(STOLEN VEHICLE TRACKING screen)</t>
  </si>
  <si>
    <t xml:space="preserve">• My Bentley App is installed in IOS / ANDROID device
• Log-In to My Bentley App with valid credentials
• Internet Service should be enabled </t>
  </si>
  <si>
    <t xml:space="preserve">1. Go to My Bentley App --&gt; CAR REMOTE --&gt; STOLEN VEHICLE TRACKING - section --&gt;  STOLEN VEHICLE TRACKING screen --&gt; Click on 'Contact Button'-Icon present at top right corner of screen
2. Select the VTS Customer Care Centre Contact details(Ex : +44 333 122 2222) in STOLEN VEHICLE TRACKING screen
</t>
  </si>
  <si>
    <t xml:space="preserve">1. Clicking on 'Contact Button' Icon in STOLEN VEHICLE TRACKING screen displays VTS Customer Care Centre Contact details(Ex : +44 333 122 2222)
2. Call should be initaited successfully to VTS Customer Care Centre without any issue
</t>
  </si>
  <si>
    <t>Validating VTS Theft Section in DASHBOARD screen of My Bentley App when actual Theft is initiated</t>
  </si>
  <si>
    <t xml:space="preserve">
• My Bentley App is installed in IOS / ANDROID device
• Log-In to My Bentley App with valid credentials
• Internet Service should be enabled </t>
  </si>
  <si>
    <t>1. Initiate a call to VTS Customer Support Centre Team and inform them about VTS [Vehicle Tracking System / Stolen Vehicle Tracking] false trigger(i.e. Since the vehicle is not stolen)
OR 
Drive the vehicle greater then 500 metre without a driver card in vehicle
2. Check the VTS [Vehicle Tracking System / Stolen Vehicle Tracking] Theft Detected section under DASHBARD screen of My Bentley App</t>
  </si>
  <si>
    <t>1. VTS Theft should be initaited
2. VTS [Vehicle Tracking System / Stolen Vehicle Tracking] Theft detected section should be seen under DASHBOARD screen of My Bentley App displaying :
- Title : Theft Detected
- Msg : We have detected a theft alarm on your 'XYZ-Vehicle'. Please call the alarm centre imediately
- Button : 'CALL ALARM CENTRE'</t>
  </si>
  <si>
    <t>Checking for VTS Customer Care Contact Details in DASHBOARD(Theft Detected -  Section) screen of My Bentley App when actual Theft is initiated</t>
  </si>
  <si>
    <t xml:space="preserve">
• Valid VTS [Vehicle Tracking System / Stolen Vehicle Tracking] License is available
• Vehicle is provisioned with VTS [Vehicle Tracking System / Stolen Vehicle Tracking] Service 
• Customer(Tester -1 ) and Vehicle are present in the registered country and is latched to a Parent Network(i.e. Ex : Vodafone UK)
• Primary User Nomination process is successfully completed
• Drive the vehicle without driver card(Tester - 1)</t>
  </si>
  <si>
    <t>1. Initiate a call to Vodafone VTS Customer Support Centre Team and inform them about VTS [Vehicle Tracking System / Stolen Vehicle Tracking] false trigger(i.e. Since the vehicle is not stolen)
OR 
Drive the vehicle greater then 500 metre without a driver card in vehicle'
2. Check the My Bentley App
3. Click on 'CALL ALARM CENTRE' button</t>
  </si>
  <si>
    <t>1. VTS Theft should be initaited 
2. VTS [Vehicle Tracking System / Stolen Vehicle Tracking] Theft detected section should be seen under DASHBOARD screen of My Bentley App displaying : 
- Title : Theft Detected
- Msg : We have detected a theft alarm on your 'XYZ-Vehicle'. Please call the alarm centre imediately
- Button : 'CALL ALARM CENTRE'
3. Clicking on 'CALL ALARM CENTRE - Button' under 'Theft Detected' section under DASHBOARD screen should displays VTS Customer Care Centre Contact details(Ex : +44 333 122 2222)</t>
  </si>
  <si>
    <t>Verify initiating call to VTS Customer Care Contact Details in DASHBOARD(Theft Detected -  Section) screen of My Bentley App when actual Theft is initiated</t>
  </si>
  <si>
    <t>• Internet Service should be enabled 
• My Bentley App is installed in IOS / ANDROID device
• Log-In to My Bentley App with valid credentials</t>
  </si>
  <si>
    <t>1. Initiate a call to Vodafone VTS Customer Support Centre Team and inform them about VTS [Vehicle Tracking System / Stolen Vehicle Tracking] false trigger(i.e. Since the vehicle is not stolen)
OR 
Drive the vehicle greater then 500 metre without a driver card in vehicle'
2. Check the My Bentley App
3. Click on 'CALL ALARM CENTRE' button 
4. Select the VTS Customer Care Centre Contact details(Ex : +44 333 122 2222)</t>
  </si>
  <si>
    <t>1. VTS Theft should be initaited 
2. VTS [Vehicle Tracking System / Stolen Vehicle Tracking] Theft detected section should be seen under DASHBOARD screen of My Bentley App displaying : 
- Title : Theft Detected
- Msg : We have detected a theft alarm on your 'XYZ-Vehicle'. Please call the alarm centre imediately
- Button : 'CALL ALARM CENTRE'
3. Clicking on 'CALL ALARM CENTRE - Button' under 'Theft Detected' section under DASHBOARD screen should displays VTS Customer Care Centre Contact details(Ex : +44 333 122 2222)
4. Call should be initiated successfully to VTS Customer Care Centre without any issue</t>
  </si>
  <si>
    <t>Validate 'My Security Language' option under 'My Details' tab of STOLEN VEHICLE TRACKING screen</t>
  </si>
  <si>
    <t xml:space="preserve">
• Valid VTS [Vehicle Tracking System / Stolen Vehicle Tracking] License is available
• Vehicle is provisioned with VTS [Vehicle Tracking System / Stolen Vehicle Tracking] Service and is active
• Primary User Nomination process is successfully completed
• My Security Language (Ex : English) already set as a part of the vehicle registration process</t>
  </si>
  <si>
    <t>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Launch VTS [Vehicle Tracking System / Stolen Vehicle Tracking](CAR REMOTE --&gt; STOLEN VEHICLE TRACKING)
3. Select 'My Details' tab
4. Validate 'My Security Language' option : 
a. Click on 'My Security Language'  option
b. Check for ‘&gt;’ next screen indication arrow. 
c. Check for  Information (i) icon and its contents
d. Position of  ‘My Security Language’ in  'My Details' tab of STOLEN VEHICLE TRACKING screen'</t>
  </si>
  <si>
    <t>1. My Bentley App is launched successfully and focus is in vehicle 'DASHBOARD' screen
2. VTS [Vehicle Tracking System / Stolen Vehicle Tracking]-STOLEN VEHICLE TRACKING screen is launched displaying : 
- 'My Alerts' tab
- 'Configure' tab
- 'My Details' tab'
3. 'My Details' tab should be launched displaying 
- 'My Certificate' : 
a. My STOLEN VEHICLE TRACKING Certificate : Customer should be allowed to download the 'My STOLEN VEHICLE TRACKING Certificate' in pdf format to produce it to the insurance company
- 'My Details' : 
a. Name 
b. Email Address  
c. Address
d. Primary Mobile Number
e. Other Mobile Numbers
f. My Bentley(Vehicle Info - Range / Model , Colour , Vehicle Registered Country Info &amp; Registration Number of Vehicle)
g. My Security Questions 
h. My Security Language
4. Under 'My Details' tab of STOLEN VEHICLE TRACKING screen : 
a. 'My Security Language' to not be clickable/actionable by the user. 
b. No ‘&gt;’ next screen indication arrow should be displayed next to 'My Security Language'  option. 
c. Information (i) icon and its contents should be properly displayed
d. 'My Security Language' option to be displayed at the bottom of the list, below 'My Security Question'</t>
  </si>
  <si>
    <t>Validate 'My Bentley'(i.e. Vehicle Details) option under 'My Details' tab of STOLEN VEHICLE TRACKING screen</t>
  </si>
  <si>
    <t>• Internet Service should be enabled 
• My Bentley App is installed in either Apple or Android mobile devices</t>
  </si>
  <si>
    <t xml:space="preserve">
• Valid VTS [Vehicle Tracking System / Stolen Vehicle Tracking] License is available
• Vehicle is provisioned with VTS [Vehicle Tracking System / Stolen Vehicle Tracking] Service and is active
• Primary User Nomination process is successfully completed
•  'My Bentley'(i.e. Vehicle Details - Range , Colour , Registered Country Info &amp; Registration Number of Vehicle) option under 'My Details' tab of STOLEN VEHICLE TRACKING screen) already set as a part of the vehicle registration process</t>
  </si>
  <si>
    <t>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Launch VTS [Vehicle Tracking System / Stolen Vehicle Tracking](CAR REMOTE --&gt; STOLEN VEHICLE TRACKING)
3. Select 'My Details' tab
4. Validate 'My Bentley'(i.e. Vehicle Details) option : 
a. Click on ''Country Details(Ex : England)''  field
b. Check for ‘&gt;’ next screen indication arrow next to 'Country Details(Ex : England)'
c. Check for  Information (i) icon and its contents
d. Click on 'Range / Model (Ex : Flysing Spur)'  field
e. Check for ‘^’ arrow next to the vehicle model'</t>
  </si>
  <si>
    <t>1. My Bentley App is launched successfully and focus is in vehicle 'DASHBOARD' screen
2. VTS [Vehicle Tracking System / Stolen Vehicle Tracking]-STOLEN VEHICLE TRACKING screen is launched displaying : 
- 'My Alerts' tab
- 'Configure' tab
- 'My Details' tab'
3. 'My Details' tab should be launched displaying 
- 'My Certificate' : 
a. My STOLEN VEHICLE TRACKING Certificate : Customer should be allowed to download the 'My STOLEN VEHICLE TRACKING Certificate' in pdf format to produce it to the insurance company
- 'My Details' : 
a. Name 
b. Email Address  
c. Address
d. Primary Mobile Number
e. Other Mobile Numbers
f. My Bentley(Vehicle Info - Range / Model , Colour , Vehicle Registered Country Info &amp; Registration Number of Vehicle)
g. My Security Questions 
h. My Security Language'
4. Under 'My Details' tab of STOLEN VEHICLE TRACKING screen : 
a. 'Country Details(Ex : England)'  field must not be clickable/actionable by the user
b. No ‘&gt;’ next screen indication arrow should be displayed next to  ''Country Details(Ex : England)''
c. Information (i) icon and its contents should be properly displayed
d. 'Range / Model (Ex : Flysing Spur)'  field must not be clickable/actionable by the user
e. The ‘^’ arrow next to the vehicle model must not be present'</t>
  </si>
  <si>
    <t>Check whether customer's name information(i.e. First Name &amp; Last Name) &amp; Email Information autopopulated as a part of Vehicle Registration Process when this information is already provided during VIN adding process / Bentley Account ID creation process</t>
  </si>
  <si>
    <t xml:space="preserve">
• Valid VTS [Vehicle Tracking System / Stolen Vehicle Tracking] License is available
• Vehicle is provisioned with VTS [Vehicle Tracking System / Stolen Vehicle Tracking] Service and is not active• Primary User Nomination process is successfully completed
• Customer Name Information(i.e. First Name , Last Name) &amp; Email Information provided as a part of VIN adding process</t>
  </si>
  <si>
    <t xml:space="preserve">1. Launch My Bentley App once again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VTS [Vehicle Tracking System / Stolen Vehicle Tracking] status displayed under Vehicle DASHBOARD screen or STOLEN VEHICLE TRACKING(CAR REMOTE screen) in My Bentley App when VTS [Vehicle Tracking System / Stolen Vehicle Tracking] Service Activation is 'Not Activated'
3. Click on ''ACTIVATE VEHICLE TRACKING'' button from Vehicle DASHBOARD screen
OR 
Click on ''ACTIVATE VEHICLE TRACKING'' button from STOLEN VEHICLE TRACKING-CAR REMOTE screen'
4. Select the suitable language + Accept all conditions and Click on 'CONFIRM' button
5. Check whether customer's name information(i.e. First Name &amp; Last Name) &amp; Email Information autopopulated as a part of Vehicle Registration Process when this information is already provided during Bentley ID Account creation 
</t>
  </si>
  <si>
    <t>1. My Bentley App is launched successfully and focus is in vehicle 'DASHBOARD' screen
2. * MY BENTLEY (DASHBOARD screen) : 
PLEASE ACTIVATE YOUR STOLEN VEHICLE TRACKING
Message : Your Bentley includes our all new vehicle tracking service, helping you to keep your Bentley safe.
- Button : 'ACTIVATE VEHICLE TRACKING'
- Activation Prompt(Vehicle Symbol) should be active in DASHBOARD screen
* STOLEN VEHICLE TRACKING(CAR REMOTE screen) : 
VTS [Vehicle Tracking System / Stolen Vehicle Tracking] status 'Not Activated' should be displayed under 'STOLEN VEHICLE TRACKING' section(CAR REMOTE screen) in My Bentley App
3. VTS [Vehicle Tracking System / Stolen Vehicle Tracking] - ACTIVATE YOUR STOLEN VEHICLE TRACKING screen should launch displaying below options : 
- Customer should be allowed to select the the language
- Accept Terms of Use
- Accept Terms &amp; Conditions
- Accept Privacy Policy
Button : CONFIRM
4. VTS [Vehicle Tracking System / Stolen Vehicle Tracking] - ADD YOUR DETAILS screen should launch displaying below options : 
- First Name
- Last Name
- Email Address
Button : CONTINUE
5. Name(i.e. First Name &amp; Last Name) Information &amp; Email Information should be autopopulated as a part of Vehicle Registration Process in ADD YOUR DETAILS screen without any issues and then continue with the VTS [Vehicle Tracking System / Stolen Vehicle Tracking] activation process</t>
  </si>
  <si>
    <t>Check whether customer's address information is autopopulated as a part of Vehicle Registration Process when this information is already provided during VIN adding process / Bentley Account ID creation process</t>
  </si>
  <si>
    <t xml:space="preserve">
• Valid VTS [Vehicle Tracking System / Stolen Vehicle Tracking] License is available
• Vehicle is provisioned with VTS [Vehicle Tracking System / Stolen Vehicle Tracking] Service and is not active
• Primary User Nomination process is successfully completed
• Customer Name Information(i.e. First Name , Last Name) &amp; Email Information provided as a part of Bentley ID Account creation process
• Customer Address Information provided as a part of Bentley ID Account creation process</t>
  </si>
  <si>
    <t xml:space="preserve">1. Launch My Bentley App once again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VTS status displayed under Vehicle DASHBOARD screen or STOLEN VEHICLE TRACKING(CAR REMOTE screen) in My Bentley App when VTS [Vehicle Tracking System / Stolen Vehicle Tracking] Service Activation is 'Not Activated'
3. Click on 'ACTIVATE VEHICLE TRACKING' button from Vehicle DASHBOARD screen
OR 
Click on 'ACTIVATE VEHICLE TRACKING' button from STOLEN VEHICLE TRACKING-CAR REMOTE screen'
4. Select the suitable language + Accept all conditions and Click on 'CONFIRM' button
5. Click on 'CONTINUE' button and Check whether customer's address information is autopopulated as a part of Vehicle Registration Process when this information is already provided during Bentley ID Account creation </t>
  </si>
  <si>
    <t>1. My Bentley App is launched successfully and focus is in vehicle 'DASHBOARD' screen
2. * MY BENTLEY (DASHBOARD screen) : 
PLEASE ACTIVATE YOUR STOLEN VEHICLE TRACKING
Message : Your Bentley includes our all new vehicle tracking service, helping you to keep your Bentley safe.
- Button : 'ACTIVATE VEHICLE TRACKING'
- Activation Prompt(Vehicle Symbol) should be active in DASHBOARD screen
* STOLEN VEHICLE TRACKING(CAR REMOTE screen) : 
VTS [Vehicle Tracking System / Stolen Vehicle Tracking] status 'Not Activated' should be displayed under 'STOLEN VEHICLE TRACKING' section(CAR REMOTE screen) in My Bentley App
3. VTS [Vehicle Tracking System / Stolen Vehicle Tracking] - ACTIVATE YOUR STOLEN VEHICLE TRACKING screen should launch displaying below options : 
- Customer should be allowed to select the the language
- Accept Terms of Use
- Accept Terms &amp; Conditions
- Accept Privacy Policy
Button : CONFIRM'
4. VTS [Vehicle Tracking System / Stolen Vehicle Tracking] - ADD YOUR DETAILS screen should launch displaying below options : 
Name &amp; Email Address details are autopopulated 
- First Name 
- Email Address
- Button : 'CONTINUE'
5. Address  Information(i.e. House No., City , Postcode &amp; Country) is autopopulated as a part of Vehicle Registration Process in ADD YOUR ADDRESS screen without any issues and then continue with the VTS activation process</t>
  </si>
  <si>
    <t>Check whether customer's Primary Mobile Number Information is autopopulated as a part of Vehicle Registration Process when this information is already provided during VIN adding process / Bentley Account ID creation process</t>
  </si>
  <si>
    <t xml:space="preserve">
• Valid VTS [Vehicle Tracking System / Stolen Vehicle Tracking] License is available
• Vehicle is provisioned with VTS [Vehicle Tracking System / Stolen Vehicle Tracking] Service and is not active
• Primary User Nomination process is successfully completed
• Customer Name Information(i.e. First Name , Last Name) &amp; Email Information provided as a part of Bentley ID Account creation process
• Customer Address Information provided as a part of Bentley ID Account creation process
• Customer Primary Mobile Number Information provided as a part of Bentley ID Account creation process</t>
  </si>
  <si>
    <t>1. Launch My Bentley App once again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VTS status displayed under Vehicle DASHBOARD screen or STOLEN VEHICLE TRACKING(CAR REMOTE screen) in My Bentley App when VTS [Vehicle Tracking System / Stolen Vehicle Tracking] Service Activation is 'Not Activated'
3. Click on 'ACTIVATE VEHICLE TRACKING' button from Vehicle DASHBOARD screen
OR
Click on 'ACTIVATE VEHICLE TRACKING' button from STOLEN VEHICLE TRACKING-CAR REMOTE screen'
4. Select the suitable language + Accept all conditions and Click on 'CONFIRM' button
5. Click on 'CONTINUE' button in ADD YOUR DETAILS screen once customer name and email information is added
6. Click on 'CONTINUE' button in ADD YOUR ADDRESS screen once customer address is added</t>
  </si>
  <si>
    <t>1. My Bentley App is launched successfully and focus is in vehicle 'DASHBOARD' screen
2. * MY BENTLEY (DASHBOARD screen) : 
PLEASE ACTIVATE YOUR STOLEN VEHICLE TRACKING
Message : Your Bentley includes our all new vehicle tracking service, helping you to keep your Bentley safe.
- Button : 'ACTIVATE VEHICLE TRACKING'
- Activation Prompt(Vehicle Symbol) should be active in DASHBOARD screen
* STOLEN VEHICLE TRACKING(CAR REMOTE screen) : 
VTS [Vehicle Tracking System / Stolen Vehicle Tracking] status 'Not Activated' should be displayed under 'STOLEN VEHICLE TRACKING' section(CAR REMOTE screen) in My Bentley App'
3. VTS [Vehicle Tracking System / Stolen Vehicle Tracking] - ACTIVATE YOUR STOLEN VEHICLE TRACKING screen should launch displaying below options : 
- Customer should be allowed to select the the language
- Accept Terms of Use
- Accept Terms &amp; Conditions
- Accept Privacy Policy
- Button : 'CONFIRM'
4. VTS - ADD YOUR DETAILS screen should launch displaying below options : 
Name &amp; Email Address details are autopopulated 
- First Name 
- Last Name
- Email Address
- Button : 'CONTINUE'
5. Address  Information(i.e. House No., City , Postcode &amp; Country) is autopopulated under 'ADD YOUR ADDRESS' screen along with 'CONTINUE' button
6. Primary Mobile Number  Information is autopopulated as a part of Vehicle Registration Process in 'ADD YOUR MOBILE NUMBER' screen without any issues and then continue with the VTS activation process</t>
  </si>
  <si>
    <t>Validating STOLEN VEHICLE TRACKING Text in all the screens irrespective of Theft initiation or not</t>
  </si>
  <si>
    <t xml:space="preserve">
• Valid VTS [Vehicle Tracking System / Stolen Vehicle Tracking] License is available 
• Vehicle is provisioned with VTS [Vehicle Tracking System / Stolen Vehicle Tracking] Service
• Primary User Nomination process is successfully completed
• Driver Card battery is present
• Driver Card is activated
• Mobile device language set to 'English' by default
• VTS [Vehicle Tracking System / Stolen Vehicle Tracking] License is active and in use</t>
  </si>
  <si>
    <t xml:space="preserve">1. Initiate a call to VTS Customer Support Centre Team and inform them about VTS [Vehicle Tracking System / Stolen Vehicle Tracking] false trigger(i.e. Since the vehicle is not stolen)
OR 
Drive the vehicle greater then 500 metre without a driver card in vehicle'
2. Examine the text displayed in all the screens related to STOLEN VEHICLE TRACKING when theft is is initiated
3. Deactivate the Theft by requesting VTS Customer Support Centre Team
4. Examine the text displayed in all the screens related to STOLEN VEHICLE TRACKING when theft is is not initiated
</t>
  </si>
  <si>
    <t>1. VTS Theft should be initaited displaying : 
&gt;&gt; VTS [Vehicle Tracking System / Stolen Vehicle Tracking] Theft detected section under DASHBOARD screen of My Bentley App displaying : 
- Title : Theft Detected
- Msg : We have detected a theft alarm on your ''XYZ-Vehicle''. Please call the alarm centre imediately
- Button : 'CALL ALARM CENTRE'
(Clicking on 'CALL ALARM CENTRE' button should display VTS Customer Care Centre Contact details(Ex : +44 333 122 2222))
2. All text should be displayed properly in 'English' language
3. VTS Theft should be deactivated
4. All text should be displayed properly in 'English' language</t>
  </si>
  <si>
    <t xml:space="preserve">Verify Remote Unlock functionality when Vehicle is locked by Fob Keys </t>
  </si>
  <si>
    <t xml:space="preserve">Tap on 'Unlock' button --&gt; Enter SPIN  </t>
  </si>
  <si>
    <t>Vehicle last locked by the key fob</t>
  </si>
  <si>
    <t>• My Bentley App is installed in either Apple or Android mobile devices
• Internet Service should be enabled 
• Valid VTS [Vehicle Tracking System / Stolen Vehicle Tracking] License is available
• Vehicle is provisioned with VTS [Vehicle Tracking System / Stolen Vehicle Tracking] Service
• Primary User Nomination process is successfully completed</t>
  </si>
  <si>
    <t>Check whether 'Garage Mode' can be enabled under VTS [Vehicle Tracking System / Stolen Vehicle Tracking] service in My Bentley App. Then verify activation status and finally confirm 'Garage Mode' can be manually disabled</t>
  </si>
  <si>
    <t>1. My Bentley App is launched successfully and focus is in vehicle 'DASHBOARD' screen
2. VTS [Vehicle Tracking System / Stolen Vehicle Tracking] status 'Active' should be displayed under 'STOLEN VEHICLE TRACKING' section in 'CAR REMOTE' screen of My Bentley App screen
3. VTS  - 'STOLEN VEHICLE TRACKING -Configure' screen is launched displaying : 
a. Garage Mode : 'Enable' / 'Disable' option
b. Transport Mode : 'Enable' / 'Disable' option
c. Deactivation Mode : 'Enable' / 'Disable' option
d. Button : 'SYNC TO CAR'
4. 'Garage Mode' should be activated successfully without any issues (i.e. It prevents false alarms when vehicle is undergoing maintenance and repairs done to it)
5. 'STOLEN VEHICLE TRACKING - My Alerts' screen should display status 'GARAGE MODE ENABLED - Active until XX:YY Time , Day Info'
6. 'Garage Mode' should be deactivated successfully without any issues</t>
  </si>
  <si>
    <t>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VTS [Vehicle Tracking System / Stolen Vehicle Tracking] status displayed under 'STOLEN VEHICLE TRACKING' section in 'CAR REMOTE' screen of My Bentley App when VTS service is ON 
3. Launch 'STOLEN VEHICLE TRACKING' service from CAR REMOTE screen
( CAR REMOTE --&gt; STOLEN VEHICLE TRACKING --&gt; 'Configure' tab )  
4. Try activating 'Garage Mode' 
a. Enable 'Garage Mode' 
b. Select the hours and minutes(User can enable up to 192 hours)
c. Click on 'SYNC TO CAR' button
d. Enter SPIN'
5. Check for 'Garage Mode' status under 'STOLEN VEHICLE TRACKING - My Alerts' screen
( My Bentley App 'DASHBOARD' --&gt; CAR REMOTE --&gt; STOLEN VEHICLE TRACKING  --&gt; 'My Alerts' tab ) 
6. Try deactivating 'Garage Mode'
a. Disable 'Garage Mode' 
b. Click on 'SYNC TO CAR' button
c. Enter 4 digit 'SPIN'</t>
  </si>
  <si>
    <t>Check whether 'Transport Mode' can be enabled under VTS [Vehicle Tracking System / Stolen Vehicle Tracking] service in My Bentley App. Then verify activation status and finally confirm 'Transport Mode' can be manually disabled</t>
  </si>
  <si>
    <t>Check whether 'Deactivation Mode' can be enabled under VTS [Vehicle Tracking System / Stolen Vehicle Tracking] service in My Bentley App. Then verify activation status and finally confirm 'Deactivation Mode' can be manually disabled</t>
  </si>
  <si>
    <t>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VTS [Vehicle Tracking System / Stolen Vehicle Tracking] status displayed under 'STOLEN VEHICLE TRACKING' section in 'CAR REMOTE' screen of My Bentley App when VTS service is ON 
3. Launch 'STOLEN VEHICLE TRACKING' service from CAR REMOTE screen
(CAR REMOTE --&gt; STOLEN VEHICLE TRACKING --&gt; 'Configure' tab)  
4. Try activating 'Transport Mode' 
a. Enable 'Transport Mode' 
b. Select the hours and minutes(User can enable up to 192 hours)
c. Click on 'SYNC TO CAR' button
d. Enter 4 digit 'SPIN'
5. Check for 'Transport Mode' status under 'STOLEN VEHICLE TRACKING - My Alerts' screen
( My Bentley App 'DASHBOARD' --&gt; CAR REMOTE --&gt; STOLEN VEHICLE TRACKING  --&gt; 'My Alerts' tab ) 
6. Try deactivating 'Transport Mode'
a. Disable 'Transport Mode' 
b. Click on 'SYNC TO CAR' button
c. Enter 4 digit 'SPIN'</t>
  </si>
  <si>
    <t>1. Open My Bentley App with valid credentials either from Apple or Android mobile devices 
( My Bentley App --&gt; LOGIN OR REGISTER --&gt; Email --&gt; Enter valid email id --&gt; NEXT --&gt; Enter the Password --&gt; NEXT --&gt; Vehicle 'DASHBOARD' screen ) ( My Bentley App --&gt; LOGIN OR REGISTER --&gt; Email --&gt; Enter valid email id --&gt; NEXT --&gt; Enter the Password --&gt; NEXT --&gt; Vehicle 'DASHBOARD' screen ) 
2. Check for VTS [Vehicle Tracking System / Stolen Vehicle Tracking] status displayed under 'STOLEN VEHICLE TRACKING' section in 'CAR REMOTE' screen of My Bentley App when VTS service is ON 
3. Launch 'STOLEN VEHICLE TRACKING' service from CAR REMOTE screen
(CAR REMOTE --&gt; STOLEN VEHICLE TRACKING --&gt; 'Configure' tab) 
4. Try activating 'Deactivation Mode' 
a. Enable 'Deactivation Mode' 
b. Select the hours and minutes(User can enable up to 192 hours)
c. Click on 'SYNC TO CAR' button
d. Enter 4 digit 'SPIN'
5. Check for 'Deactivation Mode' status under 'STOLEN VEHICLE TRACKING - My Alerts' screen
( My Bentley App 'DASHBOARD' --&gt; CAR REMOTE --&gt; STOLEN VEHICLE TRACKING  --&gt; 'My Alerts' tab ) 
6. Try deactivating 'Deactivation Mode'
a. Disable 'Deactivation Mode' 
b. Click on 'SYNC TO CAR' button
c. Enter 4 digit 'SPIN'</t>
  </si>
  <si>
    <t>1. My Bentley App is launched successfully and focus is in vehicle 'DASHBOARD' screen
2. VTS [Vehicle Tracking System / Stolen Vehicle Tracking] status 'Active' should be displayed under 'STOLEN VEHICLE TRACKING' section in 'CAR REMOTE' screen of My Bentley App screen
3. VTS  - 'STOLEN VEHICLE TRACKING -Configure' screen is launched displaying : 
a. Garage Mode : 'Enable' / 'Disable' option
b. Transport Mode : 'Enable' / 'Disable' option
c. Deactivation Mode : 'Enable' / 'Disable' option
d. Button : 'SYNC TO CAR'
4. 'Transport Mode' should be activated successfully without any issues (i.e. It prevents false alarms when vehicle is moving but not being driven - Being transported  on a boat or a plane)
5. 'STOLEN VEHICLE TRACKING - My Alerts' screen should display status 'TRANSPORT MODE ENABLED - Active until XX:YY Time , Day Info'
6. 'Transport Mode' should be deactivated successfully without any issues</t>
  </si>
  <si>
    <t>1. My Bentley App is launched successfully and focus is in vehicle 'DASHBOARD' screen
2. VTS [Vehicle Tracking System / Stolen Vehicle Tracking] status 'Active' should be displayed under 'STOLEN VEHICLE TRACKING' section in 'CAR REMOTE' screen of My Bentley App screen
3. VTS  - 'STOLEN VEHICLE TRACKING -Configure' screen is launched displaying : 
a. Garage Mode : 'Enable' / 'Disable' option
b. Transport Mode : 'Enable' / 'Disable' option
c. Deactivation Mode : 'Enable' / 'Disable' option
d. Button : 'SYNC TO CAR'
4. 'Deactivation Mode' should be activated successfully without any issues (i.e. It prevents false alarms when vehicle is undergoing maintenance and repairs done to it)
5. 'STOLEN VEHICLE TRACKING - My Alerts' screen should display status 'DEACTIVATION MODE ENABLED - Active until XX:YY Time , Day Info'
6. 'Deactivation Mode' should be deactivated successfully without any issues</t>
  </si>
  <si>
    <t>Requesting VTS Customer Support Team to disable the 'Garage Mode' / 'Transport Mode' / 'Deactivation Mode' if activated (Transport mode is on)</t>
  </si>
  <si>
    <t>Verify location search and sending location information to vehicle. Then remove the location information from 'SENT DESTINATIONS' section under NAVIGATION screen of My Bentley App</t>
  </si>
  <si>
    <t>In 'NAVIGATION' screen, Click on Search Window and search for any location(Ex : London , Leamington Spa)
Select the Searched Location Entry(Ex : London , Manchester etc.) from the list of result 
Click on 'SEND TO CAR' , Message 'XXX Location Information sent successfully to XXX Vehicle' to be displayed as well the recently sent location should be added under 'SENT DESTINATIONS' section
Check whether the recently sent location to vehicle via My Bentley App can be accessed in vehicle
Select the previously sent location details to destination(Ex : London , Manchester etc.) under 'SENT DESTINATIONS' section and delete the location info --&gt; Recently deleted Location details should not be found under 'SENT DESTINATIONS' section
3. Check whether the recently deleted location via My Bentley App is deleted from vehicle</t>
  </si>
  <si>
    <t>* In Vehicle :
HMI --&gt; Navigation --&gt; My Destinations(Navigation-Received destinations and tours Screen) --&gt; Location sent via My Bentley App should be displayed and user should be able to set the route to that location
Location sent via My Bentley App previously should not be displayed once it is removed from My Bentley App side</t>
  </si>
  <si>
    <t>Observe and click the 'User' icon.</t>
  </si>
  <si>
    <t>User Icon should be display  at the right bottom of screen.
'The user location should then be displayed on the map.</t>
  </si>
  <si>
    <t>Accessing 'User' icon via My Bentley App and verify the user location on the map.</t>
  </si>
  <si>
    <t>Verify adding VIN in 'ADD A VEHICLE' Screen via Optical Character Recognition(OCR) when permission to access camera is not given to My Bentley App.
Verify clicking on 'Go to settings' link in 'ADD A VEHICLE' screen takes to respective phone settings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</si>
</sst>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sz val="10"/>
      <name val="Arial"/>
      <family val="2"/>
    </font>
    <font>
      <sz val="11"/>
      <color theme="1"/>
      <name val="Bentley"/>
      <family val="2"/>
    </font>
    <font>
      <b/>
      <sz val="11"/>
      <color theme="1"/>
      <name val="Bentley"/>
      <family val="2"/>
    </font>
    <font>
      <b/>
      <sz val="11"/>
      <color theme="1"/>
      <name val="Calibri"/>
      <family val="2"/>
      <scheme val="minor"/>
    </font>
    <font>
      <b/>
      <sz val="20"/>
      <color theme="1"/>
      <name val="Bentley"/>
      <family val="2"/>
    </font>
    <font>
      <sz val="10"/>
      <color theme="1"/>
      <name val="Bentley"/>
      <family val="2"/>
    </font>
    <font>
      <sz val="11"/>
      <color rgb="FFFF0000"/>
      <name val="Calibri"/>
      <family val="2"/>
      <scheme val="minor"/>
    </font>
    <font>
      <sz val="11"/>
      <name val="Bentley"/>
      <family val="2"/>
    </font>
    <font>
      <sz val="11"/>
      <color rgb="FFFF0000"/>
      <name val="Bentley"/>
      <family val="2"/>
    </font>
  </fonts>
  <fills count="7">
    <fill>
      <patternFill patternType="none"/>
    </fill>
    <fill>
      <patternFill patternType="gray125"/>
    </fill>
    <fill>
      <patternFill patternType="solid">
        <fgColor theme="3" tint="0.59999389629810485"/>
        <bgColor indexed="64"/>
      </patternFill>
    </fill>
    <fill>
      <patternFill patternType="solid">
        <fgColor rgb="FFDEFFBD"/>
        <bgColor indexed="64"/>
      </patternFill>
    </fill>
    <fill>
      <patternFill patternType="solid">
        <fgColor rgb="FFFFC000"/>
        <bgColor indexed="64"/>
      </patternFill>
    </fill>
    <fill>
      <patternFill patternType="solid">
        <fgColor theme="0"/>
        <bgColor indexed="64"/>
      </patternFill>
    </fill>
    <fill>
      <patternFill patternType="solid">
        <fgColor rgb="FFFFFF00"/>
        <bgColor indexed="64"/>
      </patternFill>
    </fill>
  </fills>
  <borders count="32">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medium">
        <color indexed="64"/>
      </bottom>
      <diagonal/>
    </border>
  </borders>
  <cellStyleXfs count="2">
    <xf numFmtId="0" fontId="0" fillId="0" borderId="0"/>
    <xf numFmtId="0" fontId="1" fillId="0" borderId="0"/>
  </cellStyleXfs>
  <cellXfs count="244">
    <xf numFmtId="0" fontId="0" fillId="0" borderId="0" xfId="0"/>
    <xf numFmtId="0" fontId="2" fillId="0" borderId="0" xfId="0" applyFont="1" applyAlignment="1">
      <alignment horizontal="center" vertical="center"/>
    </xf>
    <xf numFmtId="0" fontId="2" fillId="0" borderId="0" xfId="0" applyFont="1"/>
    <xf numFmtId="0" fontId="2" fillId="0" borderId="2" xfId="0" applyFont="1" applyBorder="1" applyAlignment="1">
      <alignment horizontal="left" vertical="center"/>
    </xf>
    <xf numFmtId="0" fontId="2" fillId="0" borderId="6" xfId="0" applyFont="1" applyBorder="1" applyAlignment="1">
      <alignment horizontal="center" vertical="center"/>
    </xf>
    <xf numFmtId="0" fontId="2" fillId="0" borderId="11" xfId="0" applyFont="1" applyBorder="1" applyAlignment="1">
      <alignment horizontal="center" vertical="center"/>
    </xf>
    <xf numFmtId="0" fontId="2" fillId="0" borderId="3" xfId="0" applyFont="1" applyBorder="1" applyAlignment="1">
      <alignment horizontal="left" vertical="center"/>
    </xf>
    <xf numFmtId="0" fontId="2" fillId="0" borderId="2" xfId="0" applyFont="1" applyBorder="1" applyAlignment="1">
      <alignment horizontal="center" vertical="center"/>
    </xf>
    <xf numFmtId="0" fontId="2" fillId="0" borderId="0" xfId="0" applyFont="1" applyAlignment="1">
      <alignment horizontal="left"/>
    </xf>
    <xf numFmtId="0" fontId="2" fillId="0" borderId="2" xfId="0" applyFont="1" applyBorder="1" applyAlignment="1">
      <alignment horizontal="center" vertical="top"/>
    </xf>
    <xf numFmtId="0" fontId="2" fillId="0" borderId="3" xfId="0" applyFont="1" applyBorder="1" applyAlignment="1">
      <alignment horizontal="center" vertical="center"/>
    </xf>
    <xf numFmtId="0" fontId="2" fillId="0" borderId="3" xfId="0" applyFont="1" applyBorder="1" applyAlignment="1">
      <alignment horizontal="center" vertical="top"/>
    </xf>
    <xf numFmtId="0" fontId="0" fillId="0" borderId="0" xfId="0" applyAlignment="1">
      <alignment horizontal="center" vertical="center"/>
    </xf>
    <xf numFmtId="0" fontId="2" fillId="0" borderId="10" xfId="0" applyFont="1" applyBorder="1" applyAlignment="1">
      <alignment horizontal="left" vertical="center"/>
    </xf>
    <xf numFmtId="0" fontId="2" fillId="0" borderId="12" xfId="0" applyFont="1" applyBorder="1" applyAlignment="1">
      <alignment horizontal="left" vertical="center"/>
    </xf>
    <xf numFmtId="0" fontId="2" fillId="0" borderId="10" xfId="0" applyFont="1" applyBorder="1"/>
    <xf numFmtId="0" fontId="0" fillId="0" borderId="2" xfId="0" applyBorder="1" applyAlignment="1">
      <alignment horizontal="left" vertical="center" wrapText="1"/>
    </xf>
    <xf numFmtId="0" fontId="6" fillId="0" borderId="10" xfId="0" applyFont="1" applyBorder="1" applyAlignment="1">
      <alignment horizontal="left" vertical="center"/>
    </xf>
    <xf numFmtId="0" fontId="2" fillId="0" borderId="8" xfId="0" applyFont="1" applyBorder="1" applyAlignment="1">
      <alignment horizontal="center" vertical="center"/>
    </xf>
    <xf numFmtId="0" fontId="3" fillId="4" borderId="25" xfId="0" applyFont="1" applyFill="1" applyBorder="1" applyAlignment="1">
      <alignment horizontal="center" vertical="center"/>
    </xf>
    <xf numFmtId="0" fontId="3" fillId="4" borderId="26" xfId="0" applyFont="1" applyFill="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left" vertical="center"/>
    </xf>
    <xf numFmtId="0" fontId="2" fillId="0" borderId="8" xfId="0" applyFont="1" applyBorder="1" applyAlignment="1">
      <alignment horizontal="center" vertical="top"/>
    </xf>
    <xf numFmtId="0" fontId="2" fillId="0" borderId="9" xfId="0" applyFont="1" applyBorder="1" applyAlignment="1">
      <alignment horizontal="left" vertical="center"/>
    </xf>
    <xf numFmtId="0" fontId="2" fillId="0" borderId="22" xfId="0" applyFont="1" applyBorder="1" applyAlignment="1">
      <alignment horizontal="center" vertical="center"/>
    </xf>
    <xf numFmtId="0" fontId="2" fillId="0" borderId="12" xfId="0" applyFont="1" applyBorder="1"/>
    <xf numFmtId="0" fontId="2" fillId="0" borderId="2" xfId="0" quotePrefix="1" applyFont="1" applyBorder="1" applyAlignment="1">
      <alignment horizontal="left" vertical="center"/>
    </xf>
    <xf numFmtId="0" fontId="2" fillId="5" borderId="2" xfId="0" applyFont="1" applyFill="1" applyBorder="1" applyAlignment="1">
      <alignment horizontal="left" vertical="center"/>
    </xf>
    <xf numFmtId="0" fontId="2" fillId="0" borderId="0" xfId="0" applyFont="1" applyAlignment="1">
      <alignment horizontal="center" vertical="top"/>
    </xf>
    <xf numFmtId="0" fontId="2" fillId="0" borderId="2" xfId="0" applyFont="1" applyBorder="1" applyAlignment="1">
      <alignment horizontal="left"/>
    </xf>
    <xf numFmtId="0" fontId="3" fillId="3" borderId="14" xfId="0" applyFont="1" applyFill="1" applyBorder="1" applyAlignment="1">
      <alignment horizontal="center" vertical="center"/>
    </xf>
    <xf numFmtId="164" fontId="0" fillId="0" borderId="0" xfId="0" applyNumberFormat="1"/>
    <xf numFmtId="164" fontId="3" fillId="3" borderId="14" xfId="0" applyNumberFormat="1" applyFont="1" applyFill="1" applyBorder="1" applyAlignment="1">
      <alignment horizontal="center" vertical="center"/>
    </xf>
    <xf numFmtId="164" fontId="2" fillId="0" borderId="2" xfId="0" applyNumberFormat="1" applyFont="1" applyBorder="1" applyAlignment="1">
      <alignment horizontal="center" vertical="center"/>
    </xf>
    <xf numFmtId="164" fontId="2" fillId="0" borderId="3" xfId="0" applyNumberFormat="1" applyFont="1" applyBorder="1" applyAlignment="1">
      <alignment horizontal="center" vertical="center"/>
    </xf>
    <xf numFmtId="164" fontId="2" fillId="0" borderId="0" xfId="0" applyNumberFormat="1" applyFont="1"/>
    <xf numFmtId="0" fontId="2" fillId="0" borderId="10" xfId="0" applyFont="1" applyBorder="1" applyAlignment="1">
      <alignment horizontal="left"/>
    </xf>
    <xf numFmtId="164" fontId="2" fillId="0" borderId="0" xfId="0" applyNumberFormat="1" applyFont="1" applyAlignment="1">
      <alignment horizontal="center" vertical="center"/>
    </xf>
    <xf numFmtId="164" fontId="0" fillId="0" borderId="0" xfId="0" applyNumberFormat="1" applyAlignment="1">
      <alignment horizontal="center" vertical="center"/>
    </xf>
    <xf numFmtId="0" fontId="2" fillId="0" borderId="0" xfId="0" applyFont="1" applyAlignment="1">
      <alignment horizontal="left" vertical="center"/>
    </xf>
    <xf numFmtId="164" fontId="2" fillId="0" borderId="8" xfId="0" applyNumberFormat="1" applyFont="1" applyBorder="1" applyAlignment="1">
      <alignment horizontal="center" vertical="center"/>
    </xf>
    <xf numFmtId="0" fontId="7" fillId="0" borderId="0" xfId="0" applyFont="1"/>
    <xf numFmtId="0" fontId="2" fillId="0" borderId="0" xfId="0" applyFont="1" applyAlignment="1">
      <alignment wrapText="1"/>
    </xf>
    <xf numFmtId="0" fontId="2" fillId="0" borderId="0" xfId="0" applyFont="1" applyAlignment="1">
      <alignment horizontal="center" vertical="center" wrapText="1"/>
    </xf>
    <xf numFmtId="164" fontId="2" fillId="0" borderId="0" xfId="0" applyNumberFormat="1" applyFont="1" applyAlignment="1">
      <alignment horizontal="center" vertical="center" wrapText="1"/>
    </xf>
    <xf numFmtId="0" fontId="0" fillId="0" borderId="0" xfId="0" applyAlignment="1">
      <alignment wrapText="1"/>
    </xf>
    <xf numFmtId="0" fontId="3" fillId="3" borderId="18" xfId="0" applyFont="1" applyFill="1" applyBorder="1" applyAlignment="1">
      <alignment horizontal="center" vertical="center" wrapText="1"/>
    </xf>
    <xf numFmtId="164" fontId="3" fillId="3" borderId="18" xfId="0" applyNumberFormat="1" applyFont="1" applyFill="1" applyBorder="1" applyAlignment="1">
      <alignment horizontal="center" vertical="center" wrapText="1"/>
    </xf>
    <xf numFmtId="164" fontId="3" fillId="4" borderId="8" xfId="0" applyNumberFormat="1"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2" xfId="0" applyFont="1" applyBorder="1" applyAlignment="1">
      <alignment horizontal="center" vertical="center" wrapText="1"/>
    </xf>
    <xf numFmtId="164" fontId="2" fillId="0" borderId="2" xfId="0" applyNumberFormat="1" applyFont="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top" wrapText="1"/>
    </xf>
    <xf numFmtId="0" fontId="2" fillId="0" borderId="10" xfId="0" applyFont="1" applyBorder="1" applyAlignment="1">
      <alignment horizontal="left" vertical="center" wrapText="1"/>
    </xf>
    <xf numFmtId="0" fontId="2" fillId="0" borderId="21" xfId="0" applyFont="1" applyBorder="1" applyAlignment="1">
      <alignment horizontal="left" vertical="center" wrapText="1"/>
    </xf>
    <xf numFmtId="0" fontId="2" fillId="0" borderId="21" xfId="0" applyFont="1" applyBorder="1" applyAlignment="1">
      <alignment horizontal="center" vertical="top" wrapText="1"/>
    </xf>
    <xf numFmtId="0" fontId="2" fillId="0" borderId="23" xfId="0" applyFont="1" applyBorder="1" applyAlignment="1">
      <alignment horizontal="left" vertical="center" wrapText="1"/>
    </xf>
    <xf numFmtId="0" fontId="2" fillId="0" borderId="11" xfId="0" applyFont="1" applyBorder="1" applyAlignment="1">
      <alignment horizontal="center" vertical="center" wrapText="1"/>
    </xf>
    <xf numFmtId="0" fontId="2" fillId="0" borderId="3" xfId="0" applyFont="1" applyBorder="1" applyAlignment="1">
      <alignment horizontal="center" vertical="center" wrapText="1"/>
    </xf>
    <xf numFmtId="164" fontId="2" fillId="0" borderId="3" xfId="0" applyNumberFormat="1" applyFont="1" applyBorder="1" applyAlignment="1">
      <alignment horizontal="center" vertical="center" wrapText="1"/>
    </xf>
    <xf numFmtId="0" fontId="2" fillId="0" borderId="3" xfId="0" applyFont="1" applyBorder="1" applyAlignment="1">
      <alignment horizontal="left" vertical="center" wrapText="1"/>
    </xf>
    <xf numFmtId="0" fontId="2" fillId="0" borderId="3" xfId="0" applyFont="1" applyBorder="1" applyAlignment="1">
      <alignment horizontal="center" vertical="top" wrapText="1"/>
    </xf>
    <xf numFmtId="0" fontId="2" fillId="0" borderId="12" xfId="0" applyFont="1" applyBorder="1" applyAlignment="1">
      <alignment horizontal="left" vertical="center" wrapText="1"/>
    </xf>
    <xf numFmtId="0" fontId="0" fillId="0" borderId="0" xfId="0" applyAlignment="1">
      <alignment horizontal="center" vertical="center" wrapText="1"/>
    </xf>
    <xf numFmtId="164" fontId="0" fillId="0" borderId="0" xfId="0" applyNumberFormat="1" applyAlignment="1">
      <alignment horizontal="center" vertical="center" wrapText="1"/>
    </xf>
    <xf numFmtId="0" fontId="2" fillId="0" borderId="2" xfId="0" applyFont="1" applyBorder="1" applyAlignment="1">
      <alignment vertical="center" wrapText="1"/>
    </xf>
    <xf numFmtId="0" fontId="3" fillId="3" borderId="14" xfId="0" applyFont="1" applyFill="1" applyBorder="1" applyAlignment="1">
      <alignment horizontal="center" vertical="center" wrapText="1"/>
    </xf>
    <xf numFmtId="164" fontId="3" fillId="3" borderId="14" xfId="0" applyNumberFormat="1" applyFont="1" applyFill="1" applyBorder="1" applyAlignment="1">
      <alignment horizontal="center" vertical="center" wrapText="1"/>
    </xf>
    <xf numFmtId="0" fontId="2" fillId="0" borderId="2" xfId="0" quotePrefix="1" applyFont="1" applyBorder="1" applyAlignment="1">
      <alignment horizontal="left" vertical="center" wrapText="1"/>
    </xf>
    <xf numFmtId="0" fontId="2" fillId="0" borderId="2" xfId="0" applyFont="1" applyBorder="1" applyAlignment="1">
      <alignment wrapText="1"/>
    </xf>
    <xf numFmtId="0" fontId="2" fillId="0" borderId="10" xfId="0" applyFont="1" applyBorder="1" applyAlignment="1">
      <alignment wrapText="1"/>
    </xf>
    <xf numFmtId="0" fontId="2" fillId="0" borderId="3" xfId="0" applyFont="1" applyBorder="1" applyAlignment="1">
      <alignment vertical="center" wrapText="1"/>
    </xf>
    <xf numFmtId="0" fontId="2" fillId="0" borderId="3" xfId="0" applyFont="1" applyBorder="1" applyAlignment="1">
      <alignment wrapText="1"/>
    </xf>
    <xf numFmtId="0" fontId="2" fillId="0" borderId="12" xfId="0" applyFont="1" applyBorder="1" applyAlignment="1">
      <alignment wrapText="1"/>
    </xf>
    <xf numFmtId="0" fontId="2" fillId="5" borderId="27" xfId="0" applyFont="1" applyFill="1" applyBorder="1" applyAlignment="1">
      <alignment horizontal="left" vertical="center" wrapText="1"/>
    </xf>
    <xf numFmtId="0" fontId="2" fillId="0" borderId="2" xfId="0" applyFont="1" applyBorder="1" applyAlignment="1">
      <alignment horizontal="left" vertical="top" wrapText="1"/>
    </xf>
    <xf numFmtId="0" fontId="2" fillId="5" borderId="8" xfId="0" applyFont="1" applyFill="1" applyBorder="1" applyAlignment="1">
      <alignment horizontal="left" vertical="center"/>
    </xf>
    <xf numFmtId="0" fontId="2" fillId="5" borderId="2" xfId="0" applyFont="1" applyFill="1" applyBorder="1" applyAlignment="1">
      <alignment horizontal="left" vertical="center" wrapText="1"/>
    </xf>
    <xf numFmtId="0" fontId="2" fillId="0" borderId="0" xfId="0" applyFont="1" applyAlignment="1">
      <alignment horizontal="left" wrapText="1"/>
    </xf>
    <xf numFmtId="164" fontId="2" fillId="0" borderId="0" xfId="0" applyNumberFormat="1" applyFont="1" applyAlignment="1">
      <alignment wrapText="1"/>
    </xf>
    <xf numFmtId="0" fontId="2" fillId="5" borderId="6" xfId="0" applyFont="1" applyFill="1" applyBorder="1" applyAlignment="1">
      <alignment horizontal="center" vertical="center" wrapText="1"/>
    </xf>
    <xf numFmtId="0" fontId="2" fillId="5" borderId="2" xfId="0" applyFont="1" applyFill="1" applyBorder="1" applyAlignment="1">
      <alignment horizontal="center" vertical="center" wrapText="1"/>
    </xf>
    <xf numFmtId="164" fontId="2" fillId="5" borderId="2" xfId="0" applyNumberFormat="1" applyFont="1" applyFill="1" applyBorder="1" applyAlignment="1">
      <alignment horizontal="center" vertical="center" wrapText="1"/>
    </xf>
    <xf numFmtId="0" fontId="2" fillId="5" borderId="20" xfId="0" applyFont="1" applyFill="1" applyBorder="1" applyAlignment="1">
      <alignment horizontal="left" vertical="center" wrapText="1"/>
    </xf>
    <xf numFmtId="0" fontId="2" fillId="5" borderId="2" xfId="0" applyFont="1" applyFill="1" applyBorder="1" applyAlignment="1">
      <alignment horizontal="center" vertical="top" wrapText="1"/>
    </xf>
    <xf numFmtId="0" fontId="2" fillId="5" borderId="2" xfId="0" applyFont="1" applyFill="1" applyBorder="1" applyAlignment="1">
      <alignment horizontal="left" wrapText="1"/>
    </xf>
    <xf numFmtId="0" fontId="2" fillId="5" borderId="10" xfId="0" applyFont="1" applyFill="1" applyBorder="1" applyAlignment="1">
      <alignment horizontal="left" wrapText="1"/>
    </xf>
    <xf numFmtId="0" fontId="0" fillId="5" borderId="0" xfId="0" applyFill="1" applyAlignment="1">
      <alignment wrapText="1"/>
    </xf>
    <xf numFmtId="0" fontId="2" fillId="5" borderId="10" xfId="0" applyFont="1" applyFill="1" applyBorder="1" applyAlignment="1">
      <alignment horizontal="left" vertical="center" wrapText="1"/>
    </xf>
    <xf numFmtId="0" fontId="2" fillId="5" borderId="0" xfId="0" applyFont="1" applyFill="1" applyAlignment="1">
      <alignment wrapText="1"/>
    </xf>
    <xf numFmtId="0" fontId="2" fillId="5" borderId="3" xfId="0" applyFont="1" applyFill="1" applyBorder="1" applyAlignment="1">
      <alignment horizontal="center" vertical="center" wrapText="1"/>
    </xf>
    <xf numFmtId="164" fontId="2" fillId="5" borderId="3" xfId="0" applyNumberFormat="1" applyFont="1" applyFill="1" applyBorder="1" applyAlignment="1">
      <alignment horizontal="center" vertical="center" wrapText="1"/>
    </xf>
    <xf numFmtId="0" fontId="2" fillId="5" borderId="3" xfId="0" applyFont="1" applyFill="1" applyBorder="1" applyAlignment="1">
      <alignment horizontal="left" vertical="center" wrapText="1"/>
    </xf>
    <xf numFmtId="0" fontId="2" fillId="5" borderId="28" xfId="0" applyFont="1" applyFill="1" applyBorder="1" applyAlignment="1">
      <alignment horizontal="left" vertical="center" wrapText="1"/>
    </xf>
    <xf numFmtId="0" fontId="2" fillId="5" borderId="3" xfId="0" applyFont="1" applyFill="1" applyBorder="1" applyAlignment="1">
      <alignment horizontal="center" vertical="top" wrapText="1"/>
    </xf>
    <xf numFmtId="0" fontId="2" fillId="5" borderId="12" xfId="0" applyFont="1" applyFill="1" applyBorder="1" applyAlignment="1">
      <alignment horizontal="left" vertical="center" wrapText="1"/>
    </xf>
    <xf numFmtId="0" fontId="4" fillId="3" borderId="4" xfId="0" applyFont="1" applyFill="1" applyBorder="1" applyAlignment="1">
      <alignment vertical="center" wrapText="1"/>
    </xf>
    <xf numFmtId="0" fontId="4" fillId="3" borderId="14" xfId="0" applyFont="1" applyFill="1" applyBorder="1" applyAlignment="1">
      <alignment vertical="center" wrapText="1"/>
    </xf>
    <xf numFmtId="0" fontId="4" fillId="3" borderId="14" xfId="0" applyFont="1" applyFill="1" applyBorder="1" applyAlignment="1">
      <alignment horizontal="center" vertical="center" wrapText="1"/>
    </xf>
    <xf numFmtId="0" fontId="0" fillId="5" borderId="2" xfId="0" applyFill="1" applyBorder="1" applyAlignment="1">
      <alignment horizontal="center" vertical="center" wrapText="1"/>
    </xf>
    <xf numFmtId="164" fontId="0" fillId="5" borderId="2" xfId="0" applyNumberFormat="1" applyFill="1" applyBorder="1" applyAlignment="1">
      <alignment horizontal="center" vertical="center" wrapText="1"/>
    </xf>
    <xf numFmtId="0" fontId="0" fillId="5" borderId="2" xfId="0" applyFill="1" applyBorder="1" applyAlignment="1">
      <alignment horizontal="left" vertical="center" wrapText="1"/>
    </xf>
    <xf numFmtId="0" fontId="4" fillId="0" borderId="2" xfId="0" applyFont="1" applyBorder="1" applyAlignment="1">
      <alignment horizontal="center" vertical="center" wrapText="1"/>
    </xf>
    <xf numFmtId="0" fontId="0" fillId="0" borderId="2" xfId="0" applyBorder="1" applyAlignment="1">
      <alignment horizontal="center" vertical="center" wrapText="1"/>
    </xf>
    <xf numFmtId="49" fontId="0" fillId="0" borderId="2" xfId="0" applyNumberFormat="1" applyBorder="1" applyAlignment="1">
      <alignment horizontal="left" vertical="center" wrapText="1"/>
    </xf>
    <xf numFmtId="0" fontId="2" fillId="0" borderId="2" xfId="0" applyFont="1" applyBorder="1" applyAlignment="1">
      <alignment horizontal="left" wrapText="1"/>
    </xf>
    <xf numFmtId="0" fontId="2" fillId="0" borderId="10" xfId="0" applyFont="1" applyBorder="1" applyAlignment="1">
      <alignment horizontal="left" wrapText="1"/>
    </xf>
    <xf numFmtId="0" fontId="2" fillId="5" borderId="11" xfId="0" applyFont="1" applyFill="1" applyBorder="1" applyAlignment="1">
      <alignment horizontal="center" vertical="center" wrapText="1"/>
    </xf>
    <xf numFmtId="0" fontId="2" fillId="0" borderId="10" xfId="0" applyFont="1" applyBorder="1" applyAlignment="1">
      <alignment horizontal="left" vertical="top" wrapText="1"/>
    </xf>
    <xf numFmtId="0" fontId="2" fillId="5" borderId="2" xfId="0" applyFont="1" applyFill="1" applyBorder="1" applyAlignment="1">
      <alignment vertical="center" wrapText="1"/>
    </xf>
    <xf numFmtId="0" fontId="2" fillId="0" borderId="21" xfId="0" applyFont="1" applyBorder="1" applyAlignment="1">
      <alignment horizontal="left" wrapText="1"/>
    </xf>
    <xf numFmtId="0" fontId="2" fillId="0" borderId="23" xfId="0" applyFont="1" applyBorder="1" applyAlignment="1">
      <alignment horizontal="left" wrapText="1"/>
    </xf>
    <xf numFmtId="0" fontId="3" fillId="4" borderId="1" xfId="0" applyFont="1" applyFill="1" applyBorder="1" applyAlignment="1">
      <alignment horizontal="center" vertical="center" wrapText="1"/>
    </xf>
    <xf numFmtId="164" fontId="3" fillId="4" borderId="1" xfId="0" applyNumberFormat="1" applyFont="1" applyFill="1" applyBorder="1" applyAlignment="1">
      <alignment horizontal="center" vertical="center" wrapText="1"/>
    </xf>
    <xf numFmtId="0" fontId="2" fillId="0" borderId="24" xfId="0" applyFont="1" applyBorder="1" applyAlignment="1">
      <alignment horizontal="center" vertical="center" wrapText="1"/>
    </xf>
    <xf numFmtId="0" fontId="2" fillId="0" borderId="8" xfId="0" applyFont="1" applyBorder="1" applyAlignment="1">
      <alignment horizontal="center" vertical="center" wrapText="1"/>
    </xf>
    <xf numFmtId="164" fontId="2" fillId="0" borderId="8" xfId="0" applyNumberFormat="1" applyFont="1" applyBorder="1" applyAlignment="1">
      <alignment horizontal="center" vertical="center" wrapText="1"/>
    </xf>
    <xf numFmtId="0" fontId="2" fillId="5" borderId="8" xfId="0" applyFont="1" applyFill="1" applyBorder="1" applyAlignment="1">
      <alignment horizontal="left" vertical="center" wrapText="1"/>
    </xf>
    <xf numFmtId="0" fontId="2" fillId="0" borderId="8" xfId="0" applyFont="1" applyBorder="1" applyAlignment="1">
      <alignment horizontal="left" vertical="center" wrapText="1"/>
    </xf>
    <xf numFmtId="0" fontId="2" fillId="0" borderId="8" xfId="0" applyFont="1" applyBorder="1" applyAlignment="1">
      <alignment horizontal="center" vertical="top" wrapText="1"/>
    </xf>
    <xf numFmtId="0" fontId="2" fillId="0" borderId="9" xfId="0" applyFont="1" applyBorder="1" applyAlignment="1">
      <alignment horizontal="left" vertical="center" wrapText="1"/>
    </xf>
    <xf numFmtId="0" fontId="3" fillId="4" borderId="24" xfId="0" applyFont="1" applyFill="1" applyBorder="1" applyAlignment="1">
      <alignment horizontal="center" vertical="center" wrapText="1"/>
    </xf>
    <xf numFmtId="0" fontId="3" fillId="4" borderId="25" xfId="0" applyFont="1" applyFill="1" applyBorder="1" applyAlignment="1">
      <alignment horizontal="center" vertical="center" wrapText="1"/>
    </xf>
    <xf numFmtId="164" fontId="3" fillId="4" borderId="25" xfId="0" applyNumberFormat="1" applyFont="1" applyFill="1" applyBorder="1" applyAlignment="1">
      <alignment horizontal="center" vertical="center" wrapText="1"/>
    </xf>
    <xf numFmtId="0" fontId="3" fillId="4" borderId="26" xfId="0" applyFont="1" applyFill="1" applyBorder="1" applyAlignment="1">
      <alignment horizontal="center" vertical="center" wrapText="1"/>
    </xf>
    <xf numFmtId="0" fontId="2" fillId="0" borderId="7" xfId="0" applyFont="1" applyBorder="1" applyAlignment="1">
      <alignment horizontal="center" vertical="center" wrapText="1"/>
    </xf>
    <xf numFmtId="0" fontId="0" fillId="5" borderId="2" xfId="0" applyFill="1" applyBorder="1" applyAlignment="1">
      <alignment vertical="center" wrapText="1"/>
    </xf>
    <xf numFmtId="0" fontId="0" fillId="0" borderId="2" xfId="0" applyBorder="1" applyAlignment="1">
      <alignment vertical="center" wrapText="1"/>
    </xf>
    <xf numFmtId="0" fontId="2" fillId="5" borderId="27" xfId="0" applyFont="1" applyFill="1" applyBorder="1" applyAlignment="1">
      <alignment vertical="center" wrapText="1"/>
    </xf>
    <xf numFmtId="0" fontId="2" fillId="0" borderId="27" xfId="0" applyFont="1" applyBorder="1" applyAlignment="1">
      <alignment vertical="center" wrapText="1"/>
    </xf>
    <xf numFmtId="0" fontId="2" fillId="0" borderId="28" xfId="0" applyFont="1" applyBorder="1" applyAlignment="1">
      <alignment vertical="center" wrapText="1"/>
    </xf>
    <xf numFmtId="0" fontId="3" fillId="0" borderId="2" xfId="0" applyFont="1" applyBorder="1" applyAlignment="1">
      <alignment horizontal="center" vertical="center" wrapText="1"/>
    </xf>
    <xf numFmtId="0" fontId="0" fillId="0" borderId="10" xfId="0" applyBorder="1" applyAlignment="1">
      <alignment wrapText="1"/>
    </xf>
    <xf numFmtId="0" fontId="0" fillId="0" borderId="10" xfId="0" applyBorder="1" applyAlignment="1">
      <alignment horizontal="left" vertical="center" wrapText="1"/>
    </xf>
    <xf numFmtId="0" fontId="0" fillId="0" borderId="12" xfId="0" applyBorder="1" applyAlignment="1">
      <alignment wrapText="1"/>
    </xf>
    <xf numFmtId="0" fontId="2" fillId="0" borderId="21" xfId="0" applyFont="1" applyBorder="1" applyAlignment="1">
      <alignment horizontal="center" vertical="center" wrapText="1"/>
    </xf>
    <xf numFmtId="0" fontId="0" fillId="0" borderId="23" xfId="0" applyBorder="1" applyAlignment="1">
      <alignment wrapText="1"/>
    </xf>
    <xf numFmtId="0" fontId="0" fillId="0" borderId="3" xfId="0" applyBorder="1" applyAlignment="1">
      <alignment wrapText="1"/>
    </xf>
    <xf numFmtId="164" fontId="3" fillId="4" borderId="21" xfId="0" applyNumberFormat="1" applyFont="1" applyFill="1" applyBorder="1" applyAlignment="1">
      <alignment horizontal="center" vertical="center" wrapText="1"/>
    </xf>
    <xf numFmtId="0" fontId="2" fillId="0" borderId="9" xfId="0" applyFont="1" applyBorder="1" applyAlignment="1">
      <alignment horizontal="left" vertical="top" wrapText="1"/>
    </xf>
    <xf numFmtId="0" fontId="3" fillId="4" borderId="24" xfId="0" applyFont="1" applyFill="1" applyBorder="1" applyAlignment="1">
      <alignment horizontal="left" vertical="center" wrapText="1"/>
    </xf>
    <xf numFmtId="0" fontId="3" fillId="4" borderId="25" xfId="0" applyFont="1" applyFill="1" applyBorder="1" applyAlignment="1">
      <alignment horizontal="left" vertical="center" wrapText="1"/>
    </xf>
    <xf numFmtId="164" fontId="3" fillId="4" borderId="25" xfId="0" applyNumberFormat="1" applyFont="1" applyFill="1" applyBorder="1" applyAlignment="1">
      <alignment horizontal="left" vertical="center" wrapText="1"/>
    </xf>
    <xf numFmtId="0" fontId="2" fillId="0" borderId="8" xfId="0" applyFont="1" applyBorder="1" applyAlignment="1">
      <alignment vertical="center" wrapText="1"/>
    </xf>
    <xf numFmtId="0" fontId="2" fillId="5" borderId="7" xfId="0" applyFont="1" applyFill="1" applyBorder="1" applyAlignment="1">
      <alignment horizontal="center" vertical="center" wrapText="1"/>
    </xf>
    <xf numFmtId="0" fontId="2" fillId="5" borderId="8" xfId="0" applyFont="1" applyFill="1" applyBorder="1" applyAlignment="1">
      <alignment horizontal="center" vertical="center" wrapText="1"/>
    </xf>
    <xf numFmtId="164" fontId="2" fillId="5" borderId="8" xfId="0" applyNumberFormat="1" applyFont="1" applyFill="1" applyBorder="1" applyAlignment="1">
      <alignment horizontal="center" vertical="center" wrapText="1"/>
    </xf>
    <xf numFmtId="0" fontId="2" fillId="5" borderId="8" xfId="0" applyFont="1" applyFill="1" applyBorder="1" applyAlignment="1">
      <alignment vertical="center" wrapText="1"/>
    </xf>
    <xf numFmtId="0" fontId="0" fillId="5" borderId="8" xfId="0" applyFill="1" applyBorder="1" applyAlignment="1">
      <alignment vertical="center" wrapText="1"/>
    </xf>
    <xf numFmtId="0" fontId="2" fillId="5" borderId="30" xfId="0" applyFont="1" applyFill="1" applyBorder="1" applyAlignment="1">
      <alignment vertical="center" wrapText="1"/>
    </xf>
    <xf numFmtId="0" fontId="2" fillId="5" borderId="8" xfId="0" applyFont="1" applyFill="1" applyBorder="1" applyAlignment="1">
      <alignment horizontal="center" vertical="top" wrapText="1"/>
    </xf>
    <xf numFmtId="0" fontId="2" fillId="5" borderId="8" xfId="0" applyFont="1" applyFill="1" applyBorder="1" applyAlignment="1">
      <alignment horizontal="left" wrapText="1"/>
    </xf>
    <xf numFmtId="0" fontId="2" fillId="5" borderId="9" xfId="0" applyFont="1" applyFill="1" applyBorder="1" applyAlignment="1">
      <alignment horizontal="left" wrapText="1"/>
    </xf>
    <xf numFmtId="0" fontId="0" fillId="0" borderId="2" xfId="0" applyBorder="1" applyAlignment="1">
      <alignment horizontal="center" vertical="top" wrapText="1"/>
    </xf>
    <xf numFmtId="0" fontId="0" fillId="5" borderId="7" xfId="0" applyFill="1" applyBorder="1" applyAlignment="1">
      <alignment horizontal="center" vertical="center" wrapText="1"/>
    </xf>
    <xf numFmtId="0" fontId="0" fillId="5" borderId="8" xfId="0" applyFill="1" applyBorder="1" applyAlignment="1">
      <alignment horizontal="center" vertical="center" wrapText="1"/>
    </xf>
    <xf numFmtId="164" fontId="0" fillId="5" borderId="8" xfId="0" applyNumberFormat="1" applyFill="1" applyBorder="1" applyAlignment="1">
      <alignment horizontal="center" vertical="center" wrapText="1"/>
    </xf>
    <xf numFmtId="0" fontId="0" fillId="5" borderId="8" xfId="0" applyFill="1" applyBorder="1" applyAlignment="1">
      <alignment horizontal="left" vertical="center" wrapText="1"/>
    </xf>
    <xf numFmtId="0" fontId="4"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left" vertical="top" wrapText="1"/>
    </xf>
    <xf numFmtId="0" fontId="0" fillId="5" borderId="6" xfId="0" applyFill="1" applyBorder="1" applyAlignment="1">
      <alignment horizontal="center" vertical="center" wrapText="1"/>
    </xf>
    <xf numFmtId="0" fontId="0" fillId="0" borderId="10" xfId="0" applyBorder="1" applyAlignment="1">
      <alignment horizontal="left" vertical="top" wrapText="1"/>
    </xf>
    <xf numFmtId="0" fontId="0" fillId="5" borderId="10" xfId="0" applyFill="1" applyBorder="1" applyAlignment="1">
      <alignment horizontal="left" vertical="top" wrapText="1"/>
    </xf>
    <xf numFmtId="0" fontId="7" fillId="0" borderId="10" xfId="0" applyFont="1" applyBorder="1" applyAlignment="1">
      <alignment horizontal="left" vertical="top" wrapText="1"/>
    </xf>
    <xf numFmtId="0" fontId="4" fillId="4" borderId="24" xfId="0" applyFont="1" applyFill="1" applyBorder="1" applyAlignment="1">
      <alignment horizontal="center" vertical="center" wrapText="1"/>
    </xf>
    <xf numFmtId="0" fontId="4" fillId="4" borderId="25" xfId="0" applyFont="1" applyFill="1" applyBorder="1" applyAlignment="1">
      <alignment horizontal="center" vertical="center" wrapText="1"/>
    </xf>
    <xf numFmtId="0" fontId="4" fillId="4" borderId="26" xfId="0" applyFont="1" applyFill="1" applyBorder="1" applyAlignment="1">
      <alignment horizontal="center" vertical="top" wrapText="1"/>
    </xf>
    <xf numFmtId="0" fontId="6" fillId="0" borderId="8" xfId="0" applyFont="1" applyBorder="1" applyAlignment="1">
      <alignment horizontal="center" vertical="center" wrapText="1"/>
    </xf>
    <xf numFmtId="0" fontId="6" fillId="0" borderId="8" xfId="0" applyFont="1" applyBorder="1" applyAlignment="1">
      <alignment wrapText="1"/>
    </xf>
    <xf numFmtId="0" fontId="6" fillId="0" borderId="9" xfId="0" applyFont="1" applyBorder="1" applyAlignment="1">
      <alignment wrapText="1"/>
    </xf>
    <xf numFmtId="0" fontId="2" fillId="0" borderId="8" xfId="0" applyFont="1" applyBorder="1" applyAlignment="1">
      <alignment wrapText="1"/>
    </xf>
    <xf numFmtId="0" fontId="2" fillId="0" borderId="9" xfId="0" applyFont="1" applyBorder="1" applyAlignment="1">
      <alignment wrapText="1"/>
    </xf>
    <xf numFmtId="0" fontId="2" fillId="0" borderId="0" xfId="0" applyFont="1" applyAlignment="1">
      <alignment horizontal="left" vertical="center" wrapText="1"/>
    </xf>
    <xf numFmtId="0" fontId="2" fillId="5" borderId="2" xfId="0" quotePrefix="1" applyFont="1" applyFill="1" applyBorder="1" applyAlignment="1">
      <alignment horizontal="left" vertical="center" wrapText="1"/>
    </xf>
    <xf numFmtId="164" fontId="2" fillId="0" borderId="21" xfId="0" applyNumberFormat="1" applyFont="1" applyBorder="1" applyAlignment="1">
      <alignment horizontal="center" vertical="center" wrapText="1"/>
    </xf>
    <xf numFmtId="0" fontId="3" fillId="3" borderId="16" xfId="0" applyFont="1" applyFill="1" applyBorder="1" applyAlignment="1">
      <alignment horizontal="center" vertical="center" wrapText="1"/>
    </xf>
    <xf numFmtId="164" fontId="3" fillId="3" borderId="16"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18"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29" xfId="0" applyFont="1" applyFill="1" applyBorder="1" applyAlignment="1">
      <alignment horizontal="center" vertical="center" wrapText="1"/>
    </xf>
    <xf numFmtId="0" fontId="0" fillId="0" borderId="8" xfId="0" applyBorder="1" applyAlignment="1">
      <alignment horizontal="left" vertical="center" wrapText="1"/>
    </xf>
    <xf numFmtId="0" fontId="2" fillId="0" borderId="19" xfId="0" applyFont="1" applyBorder="1" applyAlignment="1">
      <alignment horizontal="center" vertical="center" wrapText="1"/>
    </xf>
    <xf numFmtId="0" fontId="0" fillId="0" borderId="2" xfId="0" applyBorder="1" applyAlignment="1">
      <alignment wrapText="1"/>
    </xf>
    <xf numFmtId="0" fontId="3" fillId="3" borderId="25" xfId="0" applyFont="1" applyFill="1" applyBorder="1" applyAlignment="1">
      <alignment horizontal="center" vertical="center" wrapText="1"/>
    </xf>
    <xf numFmtId="164" fontId="3" fillId="3" borderId="25" xfId="0" applyNumberFormat="1" applyFont="1" applyFill="1" applyBorder="1" applyAlignment="1">
      <alignment horizontal="center" vertical="center" wrapText="1"/>
    </xf>
    <xf numFmtId="0" fontId="2" fillId="5" borderId="30" xfId="0" applyFont="1" applyFill="1" applyBorder="1" applyAlignment="1">
      <alignment horizontal="left" vertical="center" wrapText="1"/>
    </xf>
    <xf numFmtId="0" fontId="8" fillId="0" borderId="2" xfId="0" applyFont="1" applyBorder="1" applyAlignment="1">
      <alignment horizontal="left" vertical="center" wrapText="1"/>
    </xf>
    <xf numFmtId="0" fontId="9" fillId="0" borderId="2" xfId="0" applyFont="1" applyBorder="1" applyAlignment="1">
      <alignment horizontal="center" vertical="center" wrapText="1"/>
    </xf>
    <xf numFmtId="0" fontId="9" fillId="0" borderId="2" xfId="0" applyFont="1" applyBorder="1" applyAlignment="1">
      <alignment wrapText="1"/>
    </xf>
    <xf numFmtId="0" fontId="6" fillId="0" borderId="9" xfId="0" applyFont="1" applyBorder="1" applyAlignment="1">
      <alignment horizontal="left" vertical="center" wrapText="1"/>
    </xf>
    <xf numFmtId="0" fontId="2" fillId="0" borderId="8" xfId="0" applyFont="1" applyBorder="1" applyAlignment="1">
      <alignment horizontal="left" vertical="top" wrapText="1"/>
    </xf>
    <xf numFmtId="0" fontId="2" fillId="0" borderId="8" xfId="0" applyFont="1" applyBorder="1" applyAlignment="1">
      <alignment horizontal="left" wrapText="1"/>
    </xf>
    <xf numFmtId="0" fontId="2" fillId="0" borderId="9" xfId="0" applyFont="1" applyBorder="1" applyAlignment="1">
      <alignment horizontal="left" wrapText="1"/>
    </xf>
    <xf numFmtId="0" fontId="3" fillId="4" borderId="24" xfId="0" applyFont="1" applyFill="1" applyBorder="1" applyAlignment="1">
      <alignment horizontal="center" vertical="center"/>
    </xf>
    <xf numFmtId="164" fontId="3" fillId="4" borderId="25" xfId="0" applyNumberFormat="1" applyFont="1" applyFill="1" applyBorder="1" applyAlignment="1">
      <alignment horizontal="center" vertical="center"/>
    </xf>
    <xf numFmtId="0" fontId="6" fillId="0" borderId="9" xfId="0" applyFont="1" applyBorder="1" applyAlignment="1">
      <alignment horizontal="left" vertical="center"/>
    </xf>
    <xf numFmtId="0" fontId="0" fillId="0" borderId="14" xfId="0" applyBorder="1" applyAlignment="1">
      <alignment horizontal="left" vertical="center" wrapText="1"/>
    </xf>
    <xf numFmtId="0" fontId="0" fillId="0" borderId="8" xfId="0" applyBorder="1" applyAlignment="1">
      <alignment vertical="center" wrapText="1"/>
    </xf>
    <xf numFmtId="0" fontId="2" fillId="0" borderId="11" xfId="0" applyFont="1" applyBorder="1" applyAlignment="1">
      <alignment horizontal="center" vertical="top" wrapText="1"/>
    </xf>
    <xf numFmtId="164" fontId="2" fillId="0" borderId="3" xfId="0" applyNumberFormat="1" applyFont="1" applyBorder="1" applyAlignment="1">
      <alignment horizontal="center" vertical="top" wrapText="1"/>
    </xf>
    <xf numFmtId="0" fontId="2" fillId="5" borderId="3" xfId="0" applyFont="1" applyFill="1" applyBorder="1" applyAlignment="1">
      <alignment horizontal="left" vertical="top" wrapText="1"/>
    </xf>
    <xf numFmtId="0" fontId="2" fillId="0" borderId="3" xfId="0" applyFont="1" applyBorder="1" applyAlignment="1">
      <alignment horizontal="left" vertical="top" wrapText="1"/>
    </xf>
    <xf numFmtId="0" fontId="0" fillId="0" borderId="3" xfId="0" applyBorder="1" applyAlignment="1">
      <alignment horizontal="left" vertical="top" wrapText="1"/>
    </xf>
    <xf numFmtId="0" fontId="2" fillId="0" borderId="12" xfId="0" applyFont="1" applyBorder="1" applyAlignment="1">
      <alignment horizontal="left" vertical="top" wrapText="1"/>
    </xf>
    <xf numFmtId="0" fontId="2" fillId="6" borderId="2" xfId="0" applyFont="1" applyFill="1" applyBorder="1" applyAlignment="1">
      <alignment horizontal="center" vertical="top" wrapText="1"/>
    </xf>
    <xf numFmtId="0" fontId="3" fillId="4" borderId="24" xfId="0" applyFont="1" applyFill="1" applyBorder="1" applyAlignment="1">
      <alignment horizontal="center" vertical="top" wrapText="1"/>
    </xf>
    <xf numFmtId="0" fontId="3" fillId="4" borderId="25" xfId="0" applyFont="1" applyFill="1" applyBorder="1" applyAlignment="1">
      <alignment horizontal="center" vertical="top" wrapText="1"/>
    </xf>
    <xf numFmtId="164" fontId="3" fillId="4" borderId="25" xfId="0" applyNumberFormat="1" applyFont="1" applyFill="1" applyBorder="1" applyAlignment="1">
      <alignment horizontal="center" vertical="top" wrapText="1"/>
    </xf>
    <xf numFmtId="0" fontId="3" fillId="4" borderId="26" xfId="0" applyFont="1" applyFill="1" applyBorder="1" applyAlignment="1">
      <alignment horizontal="center" vertical="top" wrapText="1"/>
    </xf>
    <xf numFmtId="0" fontId="2" fillId="0" borderId="7" xfId="0" applyFont="1" applyBorder="1" applyAlignment="1">
      <alignment horizontal="center" vertical="top" wrapText="1"/>
    </xf>
    <xf numFmtId="164" fontId="2" fillId="0" borderId="8" xfId="0" applyNumberFormat="1" applyFont="1" applyBorder="1" applyAlignment="1">
      <alignment horizontal="center" vertical="top" wrapText="1"/>
    </xf>
    <xf numFmtId="0" fontId="2" fillId="5" borderId="8" xfId="0" applyFont="1" applyFill="1" applyBorder="1" applyAlignment="1">
      <alignment horizontal="left" vertical="top" wrapText="1"/>
    </xf>
    <xf numFmtId="0" fontId="0" fillId="0" borderId="8" xfId="0" applyBorder="1" applyAlignment="1">
      <alignment horizontal="left" vertical="top" wrapText="1"/>
    </xf>
    <xf numFmtId="164" fontId="3" fillId="4" borderId="25" xfId="0" applyNumberFormat="1" applyFont="1" applyFill="1" applyBorder="1" applyAlignment="1">
      <alignment horizontal="center" vertical="top"/>
    </xf>
    <xf numFmtId="164" fontId="3" fillId="4" borderId="18" xfId="0" applyNumberFormat="1" applyFont="1" applyFill="1" applyBorder="1" applyAlignment="1">
      <alignment horizontal="center" vertical="center" wrapText="1"/>
    </xf>
    <xf numFmtId="0" fontId="2" fillId="0" borderId="25" xfId="0" applyFont="1" applyBorder="1" applyAlignment="1">
      <alignment horizontal="center" vertical="center" wrapText="1"/>
    </xf>
    <xf numFmtId="164" fontId="2" fillId="0" borderId="25" xfId="0" applyNumberFormat="1" applyFont="1" applyBorder="1" applyAlignment="1">
      <alignment horizontal="center" vertical="center" wrapText="1"/>
    </xf>
    <xf numFmtId="0" fontId="2" fillId="0" borderId="2" xfId="0" quotePrefix="1" applyFont="1" applyBorder="1" applyAlignment="1">
      <alignment vertical="center" wrapText="1"/>
    </xf>
    <xf numFmtId="0" fontId="2" fillId="5" borderId="25" xfId="0" applyFont="1" applyFill="1" applyBorder="1" applyAlignment="1">
      <alignment horizontal="left" vertical="center" wrapText="1"/>
    </xf>
    <xf numFmtId="0" fontId="2" fillId="3" borderId="18" xfId="0" applyFont="1" applyFill="1" applyBorder="1" applyAlignment="1">
      <alignment horizontal="left" vertical="top" wrapText="1"/>
    </xf>
    <xf numFmtId="0" fontId="0" fillId="0" borderId="14" xfId="0" applyBorder="1"/>
    <xf numFmtId="0" fontId="0" fillId="0" borderId="5" xfId="0" applyBorder="1"/>
    <xf numFmtId="0" fontId="5" fillId="2" borderId="13" xfId="0" applyFont="1" applyFill="1" applyBorder="1" applyAlignment="1">
      <alignment horizontal="center" vertical="center" wrapText="1"/>
    </xf>
    <xf numFmtId="0" fontId="0" fillId="0" borderId="16" xfId="0" applyBorder="1"/>
    <xf numFmtId="0" fontId="0" fillId="0" borderId="31" xfId="0" applyBorder="1"/>
    <xf numFmtId="0" fontId="3" fillId="3" borderId="4" xfId="0" applyFont="1" applyFill="1" applyBorder="1" applyAlignment="1">
      <alignment horizontal="center" vertical="center" wrapText="1"/>
    </xf>
    <xf numFmtId="0" fontId="0" fillId="3" borderId="18" xfId="0" applyFill="1" applyBorder="1" applyAlignment="1">
      <alignment horizontal="left" vertical="top" wrapText="1"/>
    </xf>
    <xf numFmtId="0" fontId="5" fillId="2" borderId="1" xfId="0" applyFont="1" applyFill="1" applyBorder="1" applyAlignment="1">
      <alignment horizontal="center" vertical="center" wrapText="1"/>
    </xf>
    <xf numFmtId="0" fontId="0" fillId="0" borderId="15" xfId="0" applyBorder="1"/>
    <xf numFmtId="0" fontId="3" fillId="3" borderId="18" xfId="0" applyFont="1" applyFill="1" applyBorder="1" applyAlignment="1">
      <alignment horizontal="center" vertical="center" wrapText="1"/>
    </xf>
    <xf numFmtId="0" fontId="2" fillId="3" borderId="25" xfId="0" applyFont="1" applyFill="1" applyBorder="1" applyAlignment="1">
      <alignment horizontal="left" vertical="top" wrapText="1"/>
    </xf>
    <xf numFmtId="0" fontId="0" fillId="0" borderId="29" xfId="0" applyBorder="1"/>
    <xf numFmtId="0" fontId="5" fillId="2" borderId="24"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2" fillId="3" borderId="18" xfId="0" applyFont="1" applyFill="1" applyBorder="1" applyAlignment="1">
      <alignment horizontal="left" vertical="top"/>
    </xf>
    <xf numFmtId="0" fontId="5" fillId="2" borderId="1" xfId="0" applyFont="1" applyFill="1" applyBorder="1" applyAlignment="1">
      <alignment horizontal="center" vertical="center"/>
    </xf>
    <xf numFmtId="0" fontId="3" fillId="3" borderId="4" xfId="0" applyFont="1" applyFill="1" applyBorder="1" applyAlignment="1">
      <alignment horizontal="center" vertical="center"/>
    </xf>
    <xf numFmtId="0" fontId="5" fillId="2" borderId="13" xfId="0" applyFont="1" applyFill="1" applyBorder="1" applyAlignment="1">
      <alignment horizontal="center" vertical="center"/>
    </xf>
    <xf numFmtId="0" fontId="2" fillId="3" borderId="1" xfId="0" applyFont="1" applyFill="1" applyBorder="1" applyAlignment="1">
      <alignment horizontal="left" vertical="top" wrapText="1"/>
    </xf>
    <xf numFmtId="0" fontId="3" fillId="3" borderId="17" xfId="0" applyFont="1" applyFill="1" applyBorder="1" applyAlignment="1">
      <alignment horizontal="center" vertical="center" wrapText="1"/>
    </xf>
  </cellXfs>
  <cellStyles count="2">
    <cellStyle name="Normal" xfId="0" builtinId="0"/>
    <cellStyle name="Normal 3" xfId="1" xr:uid="{00000000-0005-0000-0000-000001000000}"/>
  </cellStyles>
  <dxfs count="525">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color auto="1"/>
      </font>
      <fill>
        <patternFill>
          <bgColor rgb="FFFF0000"/>
        </patternFill>
      </fill>
    </dxf>
    <dxf>
      <font>
        <b/>
        <strike val="0"/>
        <color theme="1"/>
      </font>
      <fill>
        <patternFill>
          <bgColor rgb="FF00B050"/>
        </patternFill>
      </fill>
    </dxf>
    <dxf>
      <font>
        <b/>
      </font>
      <fill>
        <patternFill>
          <bgColor rgb="FF00B050"/>
        </patternFill>
      </fill>
    </dxf>
    <dxf>
      <font>
        <b/>
        <color theme="4" tint="-0.499984740745262"/>
      </font>
      <fill>
        <patternFill>
          <bgColor rgb="FFFFFF00"/>
        </patternFill>
      </fill>
    </dxf>
    <dxf>
      <font>
        <b/>
        <color theme="2" tint="-0.749961851863155"/>
      </font>
      <fill>
        <patternFill>
          <bgColor rgb="FF00B0F0"/>
        </patternFill>
      </fill>
    </dxf>
    <dxf>
      <font>
        <b/>
        <color auto="1"/>
      </font>
      <fill>
        <patternFill>
          <bgColor theme="0" tint="-0.34998626667073579"/>
        </patternFill>
      </fill>
    </dxf>
    <dxf>
      <font>
        <b/>
        <color auto="1"/>
      </font>
      <fill>
        <patternFill>
          <bgColor theme="0" tint="-0.24994659260841701"/>
        </patternFill>
      </fill>
    </dxf>
    <dxf>
      <font>
        <b/>
        <color auto="1"/>
      </font>
      <fill>
        <patternFill>
          <bgColor rgb="FFFF0000"/>
        </patternFill>
      </fill>
    </dxf>
    <dxf>
      <font>
        <b/>
        <strike val="0"/>
        <color theme="1"/>
      </font>
      <fill>
        <patternFill>
          <bgColor rgb="FF00B050"/>
        </patternFill>
      </fill>
    </dxf>
    <dxf>
      <font>
        <b/>
        <color auto="1"/>
      </font>
      <fill>
        <patternFill>
          <bgColor rgb="FFFF0000"/>
        </patternFill>
      </fill>
    </dxf>
    <dxf>
      <font>
        <b/>
        <strike val="0"/>
        <color theme="1"/>
      </font>
      <fill>
        <patternFill>
          <bgColor rgb="FF00B050"/>
        </patternFill>
      </fill>
    </dxf>
    <dxf>
      <font>
        <b/>
        <color theme="4" tint="-0.499984740745262"/>
      </font>
      <fill>
        <patternFill>
          <bgColor rgb="FFFFFF00"/>
        </patternFill>
      </fill>
    </dxf>
    <dxf>
      <font>
        <b/>
        <color theme="2" tint="-0.749961851863155"/>
      </font>
      <fill>
        <patternFill>
          <bgColor rgb="FF00B0F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color auto="1"/>
      </font>
      <fill>
        <patternFill>
          <bgColor rgb="FFFF0000"/>
        </patternFill>
      </fill>
    </dxf>
    <dxf>
      <font>
        <b/>
        <strike val="0"/>
        <color theme="1"/>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auto="1"/>
      </font>
      <fill>
        <patternFill>
          <bgColor rgb="FFFF0000"/>
        </patternFill>
      </fill>
    </dxf>
    <dxf>
      <font>
        <b/>
        <strike val="0"/>
        <color theme="1"/>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auto="1"/>
      </font>
      <fill>
        <patternFill>
          <bgColor rgb="FFFF0000"/>
        </patternFill>
      </fill>
    </dxf>
    <dxf>
      <font>
        <b/>
        <strike val="0"/>
        <color theme="1"/>
      </font>
      <fill>
        <patternFill>
          <bgColor rgb="FFFF0000"/>
        </patternFill>
      </fill>
    </dxf>
    <dxf>
      <font>
        <b/>
        <strike val="0"/>
        <color theme="1"/>
      </font>
      <fill>
        <patternFill>
          <bgColor rgb="FFFF000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auto="1"/>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theme="0"/>
      </font>
      <fill>
        <patternFill>
          <bgColor rgb="FFFF0000"/>
        </patternFill>
      </fill>
    </dxf>
    <dxf>
      <font>
        <b/>
        <color theme="0"/>
      </font>
      <fill>
        <patternFill>
          <bgColor rgb="FF00B05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color theme="0"/>
      </font>
      <fill>
        <patternFill>
          <bgColor theme="2" tint="-0.499984740745262"/>
        </patternFill>
      </fill>
    </dxf>
    <dxf>
      <font>
        <b/>
        <color theme="0"/>
      </font>
      <fill>
        <patternFill>
          <bgColor theme="0" tint="-0.34998626667073579"/>
        </patternFill>
      </fill>
    </dxf>
    <dxf>
      <font>
        <color theme="0"/>
      </font>
      <fill>
        <patternFill>
          <bgColor theme="2" tint="-0.499984740745262"/>
        </patternFill>
      </fill>
    </dxf>
    <dxf>
      <font>
        <b/>
        <color theme="0"/>
      </font>
      <fill>
        <patternFill>
          <bgColor theme="0" tint="-0.34998626667073579"/>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theme="0"/>
      </font>
      <fill>
        <patternFill>
          <bgColor rgb="FFFF0000"/>
        </patternFill>
      </fill>
    </dxf>
    <dxf>
      <font>
        <b/>
        <color theme="0"/>
      </font>
      <fill>
        <patternFill>
          <bgColor rgb="FF00B050"/>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color theme="0"/>
      </font>
      <fill>
        <patternFill>
          <bgColor theme="2" tint="-0.499984740745262"/>
        </patternFill>
      </fill>
    </dxf>
    <dxf>
      <font>
        <b/>
        <color theme="0"/>
      </font>
      <fill>
        <patternFill>
          <bgColor theme="0" tint="-0.34998626667073579"/>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theme="0"/>
      </font>
      <fill>
        <patternFill>
          <bgColor rgb="FFFF0000"/>
        </patternFill>
      </fill>
    </dxf>
    <dxf>
      <font>
        <b/>
        <color theme="0"/>
      </font>
      <fill>
        <patternFill>
          <bgColor rgb="FF00B050"/>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color theme="0"/>
      </font>
      <fill>
        <patternFill>
          <bgColor theme="2" tint="-0.499984740745262"/>
        </patternFill>
      </fill>
    </dxf>
    <dxf>
      <font>
        <b/>
        <color theme="0"/>
      </font>
      <fill>
        <patternFill>
          <bgColor theme="0" tint="-0.34998626667073579"/>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theme="0"/>
      </font>
      <fill>
        <patternFill>
          <bgColor rgb="FFFF0000"/>
        </patternFill>
      </fill>
    </dxf>
    <dxf>
      <font>
        <b/>
        <color theme="0"/>
      </font>
      <fill>
        <patternFill>
          <bgColor rgb="FF00B050"/>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theme="0"/>
      </font>
      <fill>
        <patternFill>
          <bgColor rgb="FFFF0000"/>
        </patternFill>
      </fill>
    </dxf>
    <dxf>
      <font>
        <b/>
        <color theme="0"/>
      </font>
      <fill>
        <patternFill>
          <bgColor rgb="FF00B05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color theme="0"/>
      </font>
      <fill>
        <patternFill>
          <bgColor theme="2" tint="-0.499984740745262"/>
        </patternFill>
      </fill>
    </dxf>
    <dxf>
      <font>
        <b/>
        <color theme="0"/>
      </font>
      <fill>
        <patternFill>
          <bgColor theme="0" tint="-0.34998626667073579"/>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auto="1"/>
      </font>
      <fill>
        <patternFill>
          <bgColor rgb="FFFF0000"/>
        </patternFill>
      </fill>
    </dxf>
    <dxf>
      <font>
        <b/>
        <color theme="4" tint="-0.499984740745262"/>
      </font>
      <fill>
        <patternFill>
          <bgColor rgb="FFFFFF00"/>
        </patternFill>
      </fill>
    </dxf>
    <dxf>
      <font>
        <b/>
        <color theme="2" tint="-0.749961851863155"/>
      </font>
      <fill>
        <patternFill>
          <bgColor rgb="FF00B0F0"/>
        </patternFill>
      </fill>
    </dxf>
    <dxf>
      <font>
        <b/>
        <strike val="0"/>
        <color theme="1"/>
      </font>
      <fill>
        <patternFill>
          <bgColor rgb="FF00B050"/>
        </patternFill>
      </fill>
    </dxf>
    <dxf>
      <font>
        <b/>
        <color auto="1"/>
      </font>
      <fill>
        <patternFill>
          <bgColor theme="0" tint="-0.34998626667073579"/>
        </patternFill>
      </fill>
    </dxf>
    <dxf>
      <font>
        <b/>
        <color auto="1"/>
      </font>
      <fill>
        <patternFill>
          <bgColor theme="0" tint="-0.24994659260841701"/>
        </patternFill>
      </fill>
    </dxf>
    <dxf>
      <font>
        <b/>
      </font>
      <fill>
        <patternFill>
          <bgColor rgb="FF00B050"/>
        </patternFill>
      </fill>
    </dxf>
    <dxf>
      <font>
        <b/>
        <color theme="0"/>
      </font>
      <fill>
        <patternFill>
          <bgColor rgb="FFFF0000"/>
        </patternFill>
      </fill>
    </dxf>
    <dxf>
      <font>
        <b/>
        <color theme="4" tint="-0.499984740745262"/>
      </font>
      <fill>
        <patternFill>
          <bgColor theme="9" tint="0.59996337778862885"/>
        </patternFill>
      </fill>
    </dxf>
    <dxf>
      <font>
        <b/>
        <color theme="2" tint="-0.749961851863155"/>
      </font>
      <fill>
        <patternFill>
          <bgColor theme="0" tint="-0.1498764000366222"/>
        </patternFill>
      </fill>
    </dxf>
    <dxf>
      <font>
        <b/>
        <color theme="0"/>
      </font>
      <fill>
        <patternFill>
          <bgColor rgb="FF00B050"/>
        </patternFill>
      </fill>
    </dxf>
    <dxf>
      <font>
        <color theme="0"/>
      </font>
      <fill>
        <patternFill>
          <bgColor theme="2" tint="-0.499984740745262"/>
        </patternFill>
      </fill>
    </dxf>
    <dxf>
      <font>
        <b/>
        <color theme="0"/>
      </font>
      <fill>
        <patternFill>
          <bgColor theme="0" tint="-0.34998626667073579"/>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54428</xdr:colOff>
      <xdr:row>1</xdr:row>
      <xdr:rowOff>0</xdr:rowOff>
    </xdr:from>
    <xdr:to>
      <xdr:col>2</xdr:col>
      <xdr:colOff>131520</xdr:colOff>
      <xdr:row>1</xdr:row>
      <xdr:rowOff>354945</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283028" y="190500"/>
          <a:ext cx="553342" cy="35494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154214</xdr:colOff>
      <xdr:row>1</xdr:row>
      <xdr:rowOff>9071</xdr:rowOff>
    </xdr:from>
    <xdr:to>
      <xdr:col>2</xdr:col>
      <xdr:colOff>14498</xdr:colOff>
      <xdr:row>2</xdr:row>
      <xdr:rowOff>2066</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763814" y="212271"/>
          <a:ext cx="577834" cy="361295"/>
        </a:xfrm>
        <a:prstGeom prst="rect">
          <a:avLst/>
        </a:prstGeom>
        <a:ln>
          <a:prstDash val="solid"/>
        </a:ln>
      </xdr:spPr>
    </xdr:pic>
    <xdr:clientData/>
  </xdr:twoCellAnchor>
  <xdr:twoCellAnchor editAs="oneCell">
    <xdr:from>
      <xdr:col>12</xdr:col>
      <xdr:colOff>1149430</xdr:colOff>
      <xdr:row>4</xdr:row>
      <xdr:rowOff>426013</xdr:rowOff>
    </xdr:from>
    <xdr:to>
      <xdr:col>14</xdr:col>
      <xdr:colOff>481024</xdr:colOff>
      <xdr:row>4</xdr:row>
      <xdr:rowOff>430091</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2"/>
        <a:stretch>
          <a:fillRect/>
        </a:stretch>
      </xdr:blipFill>
      <xdr:spPr>
        <a:xfrm>
          <a:off x="27171730" y="4159813"/>
          <a:ext cx="1944619" cy="1468913"/>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145142</xdr:colOff>
      <xdr:row>1</xdr:row>
      <xdr:rowOff>9071</xdr:rowOff>
    </xdr:from>
    <xdr:to>
      <xdr:col>1</xdr:col>
      <xdr:colOff>607769</xdr:colOff>
      <xdr:row>2</xdr:row>
      <xdr:rowOff>2066</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754742" y="212271"/>
          <a:ext cx="462627" cy="361295"/>
        </a:xfrm>
        <a:prstGeom prst="rect">
          <a:avLst/>
        </a:prstGeom>
        <a:ln>
          <a:prstDash val="solid"/>
        </a:ln>
      </xdr:spPr>
    </xdr:pic>
    <xdr:clientData/>
  </xdr:twoCellAnchor>
  <xdr:twoCellAnchor editAs="oneCell">
    <xdr:from>
      <xdr:col>1</xdr:col>
      <xdr:colOff>145142</xdr:colOff>
      <xdr:row>1</xdr:row>
      <xdr:rowOff>9071</xdr:rowOff>
    </xdr:from>
    <xdr:to>
      <xdr:col>1</xdr:col>
      <xdr:colOff>607769</xdr:colOff>
      <xdr:row>2</xdr:row>
      <xdr:rowOff>2066</xdr:rowOff>
    </xdr:to>
    <xdr:pic>
      <xdr:nvPicPr>
        <xdr:cNvPr id="3" name="Picture 2" descr="File:Summary icon.svg - Wikimedia Commons">
          <a:hlinkClick xmlns:r="http://schemas.openxmlformats.org/officeDocument/2006/relationships" r:id=""/>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stretch>
          <a:fillRect/>
        </a:stretch>
      </xdr:blipFill>
      <xdr:spPr>
        <a:xfrm>
          <a:off x="754742" y="212271"/>
          <a:ext cx="462627" cy="36129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154214</xdr:colOff>
      <xdr:row>1</xdr:row>
      <xdr:rowOff>9071</xdr:rowOff>
    </xdr:from>
    <xdr:to>
      <xdr:col>2</xdr:col>
      <xdr:colOff>14498</xdr:colOff>
      <xdr:row>2</xdr:row>
      <xdr:rowOff>2066</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763814" y="212271"/>
          <a:ext cx="577834" cy="36129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148617</xdr:colOff>
      <xdr:row>1</xdr:row>
      <xdr:rowOff>16598</xdr:rowOff>
    </xdr:from>
    <xdr:to>
      <xdr:col>1</xdr:col>
      <xdr:colOff>612116</xdr:colOff>
      <xdr:row>2</xdr:row>
      <xdr:rowOff>1</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758217" y="219798"/>
          <a:ext cx="463499" cy="351703"/>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148617</xdr:colOff>
      <xdr:row>1</xdr:row>
      <xdr:rowOff>16598</xdr:rowOff>
    </xdr:from>
    <xdr:to>
      <xdr:col>1</xdr:col>
      <xdr:colOff>612116</xdr:colOff>
      <xdr:row>2</xdr:row>
      <xdr:rowOff>1</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stretch>
          <a:fillRect/>
        </a:stretch>
      </xdr:blipFill>
      <xdr:spPr>
        <a:xfrm>
          <a:off x="758217" y="219798"/>
          <a:ext cx="463499" cy="351703"/>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136071</xdr:colOff>
      <xdr:row>1</xdr:row>
      <xdr:rowOff>0</xdr:rowOff>
    </xdr:from>
    <xdr:to>
      <xdr:col>1</xdr:col>
      <xdr:colOff>608223</xdr:colOff>
      <xdr:row>1</xdr:row>
      <xdr:rowOff>354945</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745671" y="203200"/>
          <a:ext cx="472152" cy="354945"/>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115454</xdr:colOff>
      <xdr:row>1</xdr:row>
      <xdr:rowOff>0</xdr:rowOff>
    </xdr:from>
    <xdr:to>
      <xdr:col>2</xdr:col>
      <xdr:colOff>9237</xdr:colOff>
      <xdr:row>1</xdr:row>
      <xdr:rowOff>355043</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stretch>
          <a:fillRect/>
        </a:stretch>
      </xdr:blipFill>
      <xdr:spPr>
        <a:xfrm>
          <a:off x="725054" y="203200"/>
          <a:ext cx="497033" cy="355043"/>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122410</xdr:colOff>
      <xdr:row>1</xdr:row>
      <xdr:rowOff>7651</xdr:rowOff>
    </xdr:from>
    <xdr:to>
      <xdr:col>2</xdr:col>
      <xdr:colOff>15089</xdr:colOff>
      <xdr:row>2</xdr:row>
      <xdr:rowOff>646</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732010" y="210851"/>
          <a:ext cx="489579" cy="361295"/>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117928</xdr:colOff>
      <xdr:row>1</xdr:row>
      <xdr:rowOff>9072</xdr:rowOff>
    </xdr:from>
    <xdr:to>
      <xdr:col>1</xdr:col>
      <xdr:colOff>609130</xdr:colOff>
      <xdr:row>2</xdr:row>
      <xdr:rowOff>2067</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727528" y="212272"/>
          <a:ext cx="491202" cy="361295"/>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36286</xdr:colOff>
      <xdr:row>0</xdr:row>
      <xdr:rowOff>190500</xdr:rowOff>
    </xdr:from>
    <xdr:to>
      <xdr:col>2</xdr:col>
      <xdr:colOff>171158</xdr:colOff>
      <xdr:row>1</xdr:row>
      <xdr:rowOff>345874</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233136" y="190500"/>
          <a:ext cx="566672" cy="358574"/>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90714</xdr:colOff>
      <xdr:row>1</xdr:row>
      <xdr:rowOff>0</xdr:rowOff>
    </xdr:from>
    <xdr:to>
      <xdr:col>2</xdr:col>
      <xdr:colOff>111287</xdr:colOff>
      <xdr:row>1</xdr:row>
      <xdr:rowOff>354945</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stretch>
          <a:fillRect/>
        </a:stretch>
      </xdr:blipFill>
      <xdr:spPr>
        <a:xfrm>
          <a:off x="300264" y="203200"/>
          <a:ext cx="522223" cy="354945"/>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78484</xdr:colOff>
      <xdr:row>1</xdr:row>
      <xdr:rowOff>0</xdr:rowOff>
    </xdr:from>
    <xdr:to>
      <xdr:col>2</xdr:col>
      <xdr:colOff>175460</xdr:colOff>
      <xdr:row>1</xdr:row>
      <xdr:rowOff>354945</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stretch>
          <a:fillRect/>
        </a:stretch>
      </xdr:blipFill>
      <xdr:spPr>
        <a:xfrm>
          <a:off x="249934" y="203200"/>
          <a:ext cx="528776" cy="354945"/>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172357</xdr:colOff>
      <xdr:row>1</xdr:row>
      <xdr:rowOff>0</xdr:rowOff>
    </xdr:from>
    <xdr:to>
      <xdr:col>1</xdr:col>
      <xdr:colOff>609584</xdr:colOff>
      <xdr:row>1</xdr:row>
      <xdr:rowOff>354945</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stretch>
          <a:fillRect/>
        </a:stretch>
      </xdr:blipFill>
      <xdr:spPr>
        <a:xfrm>
          <a:off x="781957" y="203200"/>
          <a:ext cx="437227" cy="354945"/>
        </a:xfrm>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105833</xdr:colOff>
      <xdr:row>1</xdr:row>
      <xdr:rowOff>0</xdr:rowOff>
    </xdr:from>
    <xdr:to>
      <xdr:col>1</xdr:col>
      <xdr:colOff>577985</xdr:colOff>
      <xdr:row>1</xdr:row>
      <xdr:rowOff>354945</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stretch>
          <a:fillRect/>
        </a:stretch>
      </xdr:blipFill>
      <xdr:spPr>
        <a:xfrm>
          <a:off x="302683" y="190500"/>
          <a:ext cx="500727" cy="354945"/>
        </a:xfrm>
        <a:prstGeom prst="rect">
          <a:avLst/>
        </a:prstGeom>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127000</xdr:colOff>
      <xdr:row>1</xdr:row>
      <xdr:rowOff>0</xdr:rowOff>
    </xdr:from>
    <xdr:to>
      <xdr:col>1</xdr:col>
      <xdr:colOff>608677</xdr:colOff>
      <xdr:row>1</xdr:row>
      <xdr:rowOff>354945</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stretch>
          <a:fillRect/>
        </a:stretch>
      </xdr:blipFill>
      <xdr:spPr>
        <a:xfrm>
          <a:off x="736600" y="203200"/>
          <a:ext cx="481677" cy="354945"/>
        </a:xfrm>
        <a:prstGeom prst="rect">
          <a:avLst/>
        </a:prstGeom>
        <a:ln>
          <a:prstDash val="soli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172357</xdr:colOff>
      <xdr:row>1</xdr:row>
      <xdr:rowOff>0</xdr:rowOff>
    </xdr:from>
    <xdr:to>
      <xdr:col>1</xdr:col>
      <xdr:colOff>609584</xdr:colOff>
      <xdr:row>1</xdr:row>
      <xdr:rowOff>354945</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stretch>
          <a:fillRect/>
        </a:stretch>
      </xdr:blipFill>
      <xdr:spPr>
        <a:xfrm>
          <a:off x="781957" y="203200"/>
          <a:ext cx="437227" cy="354945"/>
        </a:xfrm>
        <a:prstGeom prst="rect">
          <a:avLst/>
        </a:prstGeom>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172357</xdr:colOff>
      <xdr:row>1</xdr:row>
      <xdr:rowOff>0</xdr:rowOff>
    </xdr:from>
    <xdr:to>
      <xdr:col>1</xdr:col>
      <xdr:colOff>612608</xdr:colOff>
      <xdr:row>1</xdr:row>
      <xdr:rowOff>354945</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stretch>
          <a:fillRect/>
        </a:stretch>
      </xdr:blipFill>
      <xdr:spPr>
        <a:xfrm>
          <a:off x="781957" y="203200"/>
          <a:ext cx="440251" cy="354945"/>
        </a:xfrm>
        <a:prstGeom prst="rect">
          <a:avLst/>
        </a:prstGeom>
        <a:ln>
          <a:prstDash val="solid"/>
        </a:ln>
      </xdr:spPr>
    </xdr:pic>
    <xdr:clientData/>
  </xdr:twoCellAnchor>
  <xdr:twoCellAnchor editAs="oneCell">
    <xdr:from>
      <xdr:col>1</xdr:col>
      <xdr:colOff>172357</xdr:colOff>
      <xdr:row>1</xdr:row>
      <xdr:rowOff>0</xdr:rowOff>
    </xdr:from>
    <xdr:to>
      <xdr:col>1</xdr:col>
      <xdr:colOff>612608</xdr:colOff>
      <xdr:row>1</xdr:row>
      <xdr:rowOff>354945</xdr:rowOff>
    </xdr:to>
    <xdr:pic>
      <xdr:nvPicPr>
        <xdr:cNvPr id="3" name="Picture 2" descr="File:Summary icon.svg - Wikimedia Commons">
          <a:hlinkClick xmlns:r="http://schemas.openxmlformats.org/officeDocument/2006/relationships" r:id=""/>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stretch>
          <a:fillRect/>
        </a:stretch>
      </xdr:blipFill>
      <xdr:spPr>
        <a:xfrm>
          <a:off x="781957" y="203200"/>
          <a:ext cx="440251" cy="354945"/>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84667</xdr:colOff>
      <xdr:row>1</xdr:row>
      <xdr:rowOff>0</xdr:rowOff>
    </xdr:from>
    <xdr:to>
      <xdr:col>2</xdr:col>
      <xdr:colOff>151477</xdr:colOff>
      <xdr:row>1</xdr:row>
      <xdr:rowOff>354945</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stretch>
          <a:fillRect/>
        </a:stretch>
      </xdr:blipFill>
      <xdr:spPr>
        <a:xfrm>
          <a:off x="313267" y="190500"/>
          <a:ext cx="524010" cy="354945"/>
        </a:xfrm>
        <a:prstGeom prst="rect">
          <a:avLst/>
        </a:prstGeom>
        <a:ln>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163286</xdr:colOff>
      <xdr:row>1</xdr:row>
      <xdr:rowOff>9071</xdr:rowOff>
    </xdr:from>
    <xdr:to>
      <xdr:col>1</xdr:col>
      <xdr:colOff>606863</xdr:colOff>
      <xdr:row>2</xdr:row>
      <xdr:rowOff>2066</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stretch>
          <a:fillRect/>
        </a:stretch>
      </xdr:blipFill>
      <xdr:spPr>
        <a:xfrm>
          <a:off x="772886" y="212271"/>
          <a:ext cx="443577" cy="361295"/>
        </a:xfrm>
        <a:prstGeom prst="rect">
          <a:avLst/>
        </a:prstGeom>
        <a:ln>
          <a:prstDash val="soli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154215</xdr:colOff>
      <xdr:row>1</xdr:row>
      <xdr:rowOff>9071</xdr:rowOff>
    </xdr:from>
    <xdr:to>
      <xdr:col>1</xdr:col>
      <xdr:colOff>610492</xdr:colOff>
      <xdr:row>2</xdr:row>
      <xdr:rowOff>2066</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cstate="print"/>
        <a:stretch>
          <a:fillRect/>
        </a:stretch>
      </xdr:blipFill>
      <xdr:spPr>
        <a:xfrm>
          <a:off x="763815" y="212271"/>
          <a:ext cx="456277" cy="361295"/>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74084</xdr:colOff>
      <xdr:row>1</xdr:row>
      <xdr:rowOff>0</xdr:rowOff>
    </xdr:from>
    <xdr:to>
      <xdr:col>1</xdr:col>
      <xdr:colOff>577986</xdr:colOff>
      <xdr:row>1</xdr:row>
      <xdr:rowOff>354945</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cstate="print"/>
        <a:stretch>
          <a:fillRect/>
        </a:stretch>
      </xdr:blipFill>
      <xdr:spPr>
        <a:xfrm>
          <a:off x="213784" y="190500"/>
          <a:ext cx="532477" cy="354945"/>
        </a:xfrm>
        <a:prstGeom prst="rect">
          <a:avLst/>
        </a:prstGeom>
        <a:ln>
          <a:prstDash val="soli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181429</xdr:colOff>
      <xdr:row>0</xdr:row>
      <xdr:rowOff>190500</xdr:rowOff>
    </xdr:from>
    <xdr:to>
      <xdr:col>1</xdr:col>
      <xdr:colOff>612306</xdr:colOff>
      <xdr:row>1</xdr:row>
      <xdr:rowOff>345874</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791029" y="190500"/>
          <a:ext cx="430877" cy="358574"/>
        </a:xfrm>
        <a:prstGeom prst="rect">
          <a:avLst/>
        </a:prstGeom>
        <a:ln>
          <a:prstDash val="solid"/>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63501</xdr:colOff>
      <xdr:row>1</xdr:row>
      <xdr:rowOff>0</xdr:rowOff>
    </xdr:from>
    <xdr:to>
      <xdr:col>1</xdr:col>
      <xdr:colOff>554703</xdr:colOff>
      <xdr:row>1</xdr:row>
      <xdr:rowOff>358120</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cstate="print"/>
        <a:stretch>
          <a:fillRect/>
        </a:stretch>
      </xdr:blipFill>
      <xdr:spPr>
        <a:xfrm>
          <a:off x="673101" y="203200"/>
          <a:ext cx="491202" cy="354945"/>
        </a:xfrm>
        <a:prstGeom prst="rect">
          <a:avLst/>
        </a:prstGeom>
        <a:ln>
          <a:prstDash val="solid"/>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127000</xdr:colOff>
      <xdr:row>1</xdr:row>
      <xdr:rowOff>0</xdr:rowOff>
    </xdr:from>
    <xdr:to>
      <xdr:col>1</xdr:col>
      <xdr:colOff>608677</xdr:colOff>
      <xdr:row>1</xdr:row>
      <xdr:rowOff>354945</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cstate="print"/>
        <a:stretch>
          <a:fillRect/>
        </a:stretch>
      </xdr:blipFill>
      <xdr:spPr>
        <a:xfrm>
          <a:off x="736600" y="203200"/>
          <a:ext cx="481677" cy="354945"/>
        </a:xfrm>
        <a:prstGeom prst="rect">
          <a:avLst/>
        </a:prstGeom>
        <a:ln>
          <a:prstDash val="solid"/>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81642</xdr:colOff>
      <xdr:row>1</xdr:row>
      <xdr:rowOff>0</xdr:rowOff>
    </xdr:from>
    <xdr:to>
      <xdr:col>2</xdr:col>
      <xdr:colOff>126984</xdr:colOff>
      <xdr:row>1</xdr:row>
      <xdr:rowOff>354945</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cstate="print"/>
        <a:stretch>
          <a:fillRect/>
        </a:stretch>
      </xdr:blipFill>
      <xdr:spPr>
        <a:xfrm>
          <a:off x="310242" y="190500"/>
          <a:ext cx="521592" cy="354945"/>
        </a:xfrm>
        <a:prstGeom prst="rect">
          <a:avLst/>
        </a:prstGeom>
        <a:ln>
          <a:prstDash val="solid"/>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145143</xdr:colOff>
      <xdr:row>1</xdr:row>
      <xdr:rowOff>0</xdr:rowOff>
    </xdr:from>
    <xdr:to>
      <xdr:col>1</xdr:col>
      <xdr:colOff>607770</xdr:colOff>
      <xdr:row>1</xdr:row>
      <xdr:rowOff>354945</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cstate="print"/>
        <a:stretch>
          <a:fillRect/>
        </a:stretch>
      </xdr:blipFill>
      <xdr:spPr>
        <a:xfrm>
          <a:off x="754743" y="203200"/>
          <a:ext cx="462627" cy="354945"/>
        </a:xfrm>
        <a:prstGeom prst="rect">
          <a:avLst/>
        </a:prstGeom>
        <a:ln>
          <a:prstDash val="solid"/>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145143</xdr:colOff>
      <xdr:row>1</xdr:row>
      <xdr:rowOff>0</xdr:rowOff>
    </xdr:from>
    <xdr:to>
      <xdr:col>1</xdr:col>
      <xdr:colOff>607770</xdr:colOff>
      <xdr:row>1</xdr:row>
      <xdr:rowOff>354945</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stretch>
          <a:fillRect/>
        </a:stretch>
      </xdr:blipFill>
      <xdr:spPr>
        <a:xfrm>
          <a:off x="754743" y="203200"/>
          <a:ext cx="462627" cy="354945"/>
        </a:xfrm>
        <a:prstGeom prst="rect">
          <a:avLst/>
        </a:prstGeom>
        <a:ln>
          <a:prstDash val="solid"/>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111125</xdr:colOff>
      <xdr:row>1</xdr:row>
      <xdr:rowOff>0</xdr:rowOff>
    </xdr:from>
    <xdr:to>
      <xdr:col>1</xdr:col>
      <xdr:colOff>608677</xdr:colOff>
      <xdr:row>1</xdr:row>
      <xdr:rowOff>354945</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cstate="print"/>
        <a:stretch>
          <a:fillRect/>
        </a:stretch>
      </xdr:blipFill>
      <xdr:spPr>
        <a:xfrm>
          <a:off x="720725" y="203200"/>
          <a:ext cx="497552" cy="354945"/>
        </a:xfrm>
        <a:prstGeom prst="rect">
          <a:avLst/>
        </a:prstGeom>
        <a:ln>
          <a:prstDash val="solid"/>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111125</xdr:colOff>
      <xdr:row>1</xdr:row>
      <xdr:rowOff>0</xdr:rowOff>
    </xdr:from>
    <xdr:to>
      <xdr:col>1</xdr:col>
      <xdr:colOff>608677</xdr:colOff>
      <xdr:row>1</xdr:row>
      <xdr:rowOff>354945</xdr:rowOff>
    </xdr:to>
    <xdr:pic>
      <xdr:nvPicPr>
        <xdr:cNvPr id="2" name="Picture 1" descr="File:Summary icon.svg - Wikimedia Commons">
          <a:hlinkClick xmlns:r="http://schemas.openxmlformats.org/officeDocument/2006/relationships" r:id=""/>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stretch>
          <a:fillRect/>
        </a:stretch>
      </xdr:blipFill>
      <xdr:spPr>
        <a:xfrm>
          <a:off x="720725" y="203200"/>
          <a:ext cx="497552" cy="354945"/>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volkswagengroup.sharepoint.com/Users/MAHAPATRADI/Desktop/TCs/SQ_MyBentley_App_Service__v2.0_Final_Formulae.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volkswagengroup-my.sharepoint.com/Users/MAHAPATRADI/Desktop/TCs/SQ_MyBentley_App_Service__v2.0_Final_Formula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volkswagengroup.sharepoint.com/Quality%20Systems/Digitalisation%20&amp;%20Smart%20Quality/My%20Bentley%206%20Services/MY25/63x/BY631/Testing/EU/MY25-BY631-SQ_Remote_Services_iOS_Test_Result_2024_05_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ChartBox"/>
      <sheetName val="Change_History"/>
      <sheetName val="DemoMode"/>
      <sheetName val="App_Registration_Pages-IDK"/>
      <sheetName val="Add_VIN"/>
      <sheetName val="MyBentleyAppLogin"/>
      <sheetName val="Nickname"/>
      <sheetName val="License(App)"/>
      <sheetName val="VehicleStatusReport"/>
      <sheetName val="RemoteLockUnlock"/>
      <sheetName val="RemoteHonk&amp;Flash"/>
      <sheetName val="SingleServiceActivation"/>
      <sheetName val="PHEV-MyCarStatistics"/>
      <sheetName val="PHEV-MyCabinComfort"/>
      <sheetName val="PHEV-MyBatteryCharge"/>
      <sheetName val="RemoteParkHeater"/>
      <sheetName val="RoadsideAssistanceCall(App)"/>
      <sheetName val="DataServices"/>
      <sheetName val="TheftAlarm"/>
      <sheetName val="MyAlerts"/>
      <sheetName val="StolenVehicleLocator"/>
      <sheetName val="Audials(App)"/>
      <sheetName val="CarFinder"/>
      <sheetName val="NavCompanion"/>
      <sheetName val="Notifications"/>
      <sheetName val="PushNotifications"/>
      <sheetName val="Profiles"/>
      <sheetName val="TextStrings"/>
      <sheetName val="PrivacyMode(App)"/>
      <sheetName val="DriverGuide"/>
      <sheetName val="VoiceControl-Google-Siri"/>
      <sheetName val="RemoteParkAssist"/>
    </sheetNames>
    <sheetDataSet>
      <sheetData sheetId="0">
        <row r="17">
          <cell r="C17" t="str">
            <v>DemoMode</v>
          </cell>
          <cell r="D17">
            <v>4</v>
          </cell>
          <cell r="E17">
            <v>0</v>
          </cell>
          <cell r="F17">
            <v>0</v>
          </cell>
          <cell r="G17">
            <v>0</v>
          </cell>
          <cell r="H17">
            <v>0</v>
          </cell>
          <cell r="I17">
            <v>0</v>
          </cell>
          <cell r="J17">
            <v>1</v>
          </cell>
        </row>
        <row r="18">
          <cell r="C18" t="str">
            <v>App_Registration_Pages-IDK</v>
          </cell>
          <cell r="D18">
            <v>7</v>
          </cell>
          <cell r="E18">
            <v>0</v>
          </cell>
          <cell r="F18">
            <v>0</v>
          </cell>
          <cell r="G18">
            <v>0</v>
          </cell>
          <cell r="H18">
            <v>0</v>
          </cell>
          <cell r="I18">
            <v>0</v>
          </cell>
          <cell r="J18">
            <v>1</v>
          </cell>
        </row>
        <row r="19">
          <cell r="C19" t="str">
            <v>Add_VIN</v>
          </cell>
          <cell r="D19">
            <v>9</v>
          </cell>
          <cell r="E19">
            <v>0</v>
          </cell>
          <cell r="F19">
            <v>0</v>
          </cell>
          <cell r="G19">
            <v>0</v>
          </cell>
          <cell r="H19">
            <v>0</v>
          </cell>
          <cell r="I19">
            <v>0</v>
          </cell>
          <cell r="J19">
            <v>1</v>
          </cell>
        </row>
        <row r="20">
          <cell r="C20" t="str">
            <v>MyBentleyAppLogin</v>
          </cell>
          <cell r="D20">
            <v>2</v>
          </cell>
          <cell r="E20">
            <v>0</v>
          </cell>
          <cell r="F20">
            <v>0</v>
          </cell>
          <cell r="G20">
            <v>0</v>
          </cell>
          <cell r="H20">
            <v>0</v>
          </cell>
          <cell r="I20">
            <v>0</v>
          </cell>
          <cell r="J20">
            <v>1</v>
          </cell>
        </row>
        <row r="21">
          <cell r="C21" t="str">
            <v>Nickname</v>
          </cell>
          <cell r="D21">
            <v>3</v>
          </cell>
          <cell r="E21">
            <v>0</v>
          </cell>
          <cell r="F21">
            <v>0</v>
          </cell>
          <cell r="G21">
            <v>0</v>
          </cell>
          <cell r="H21">
            <v>0</v>
          </cell>
          <cell r="I21">
            <v>0</v>
          </cell>
          <cell r="J21">
            <v>1</v>
          </cell>
        </row>
        <row r="22">
          <cell r="C22" t="str">
            <v>License(App)</v>
          </cell>
          <cell r="D22">
            <v>3</v>
          </cell>
          <cell r="E22">
            <v>0</v>
          </cell>
          <cell r="F22">
            <v>0</v>
          </cell>
          <cell r="G22">
            <v>0</v>
          </cell>
          <cell r="H22">
            <v>0</v>
          </cell>
          <cell r="I22">
            <v>0</v>
          </cell>
          <cell r="J22">
            <v>1</v>
          </cell>
        </row>
        <row r="23">
          <cell r="C23" t="str">
            <v>VehicleStatusReport</v>
          </cell>
          <cell r="D23">
            <v>15</v>
          </cell>
          <cell r="E23">
            <v>0</v>
          </cell>
          <cell r="F23">
            <v>0</v>
          </cell>
          <cell r="G23">
            <v>0</v>
          </cell>
          <cell r="H23">
            <v>0</v>
          </cell>
          <cell r="I23">
            <v>0</v>
          </cell>
          <cell r="J23">
            <v>1</v>
          </cell>
        </row>
        <row r="24">
          <cell r="C24" t="str">
            <v>RemoteLockUnlock</v>
          </cell>
          <cell r="D24">
            <v>5</v>
          </cell>
          <cell r="E24">
            <v>0</v>
          </cell>
          <cell r="F24">
            <v>0</v>
          </cell>
          <cell r="G24">
            <v>0</v>
          </cell>
          <cell r="H24">
            <v>0</v>
          </cell>
          <cell r="I24">
            <v>0</v>
          </cell>
          <cell r="J24">
            <v>1</v>
          </cell>
        </row>
        <row r="25">
          <cell r="C25" t="str">
            <v>RemoteHonk&amp;Flash</v>
          </cell>
          <cell r="D25">
            <v>0</v>
          </cell>
          <cell r="E25">
            <v>0</v>
          </cell>
          <cell r="F25">
            <v>0</v>
          </cell>
          <cell r="G25">
            <v>0</v>
          </cell>
          <cell r="H25">
            <v>0</v>
          </cell>
          <cell r="I25"/>
          <cell r="J25"/>
        </row>
        <row r="26">
          <cell r="C26" t="str">
            <v>SingleServiceActivation</v>
          </cell>
          <cell r="D26">
            <v>4</v>
          </cell>
          <cell r="E26">
            <v>0</v>
          </cell>
          <cell r="F26">
            <v>0</v>
          </cell>
          <cell r="G26">
            <v>0</v>
          </cell>
          <cell r="H26">
            <v>0</v>
          </cell>
          <cell r="I26">
            <v>0</v>
          </cell>
          <cell r="J26">
            <v>1</v>
          </cell>
        </row>
        <row r="27">
          <cell r="C27" t="str">
            <v>PHEV-MyCarStatistics</v>
          </cell>
          <cell r="D27">
            <v>5</v>
          </cell>
          <cell r="E27">
            <v>0</v>
          </cell>
          <cell r="F27">
            <v>0</v>
          </cell>
          <cell r="G27">
            <v>0</v>
          </cell>
          <cell r="H27">
            <v>0</v>
          </cell>
          <cell r="I27">
            <v>0</v>
          </cell>
          <cell r="J27">
            <v>1</v>
          </cell>
        </row>
        <row r="28">
          <cell r="C28" t="str">
            <v>PHEV-MyCabinComfort</v>
          </cell>
          <cell r="D28">
            <v>16</v>
          </cell>
          <cell r="E28">
            <v>0</v>
          </cell>
          <cell r="F28">
            <v>0</v>
          </cell>
          <cell r="G28">
            <v>0</v>
          </cell>
          <cell r="H28">
            <v>0</v>
          </cell>
          <cell r="I28">
            <v>0</v>
          </cell>
          <cell r="J28">
            <v>1</v>
          </cell>
        </row>
        <row r="29">
          <cell r="C29" t="str">
            <v>PHEV-MyBatteryCharge</v>
          </cell>
          <cell r="D29">
            <v>6</v>
          </cell>
          <cell r="E29">
            <v>0</v>
          </cell>
          <cell r="F29">
            <v>0</v>
          </cell>
          <cell r="G29">
            <v>0</v>
          </cell>
          <cell r="H29">
            <v>0</v>
          </cell>
          <cell r="I29">
            <v>0</v>
          </cell>
          <cell r="J29">
            <v>1</v>
          </cell>
        </row>
        <row r="30">
          <cell r="C30" t="str">
            <v>RemoteParkHeater</v>
          </cell>
          <cell r="D30">
            <v>7</v>
          </cell>
          <cell r="E30">
            <v>0</v>
          </cell>
          <cell r="F30">
            <v>0</v>
          </cell>
          <cell r="G30">
            <v>0</v>
          </cell>
          <cell r="H30">
            <v>0</v>
          </cell>
          <cell r="I30">
            <v>0</v>
          </cell>
          <cell r="J30">
            <v>1</v>
          </cell>
        </row>
        <row r="31">
          <cell r="C31" t="str">
            <v>RoadsideAssistanceCall(App)</v>
          </cell>
          <cell r="D31">
            <v>3</v>
          </cell>
          <cell r="E31">
            <v>0</v>
          </cell>
          <cell r="F31">
            <v>0</v>
          </cell>
          <cell r="G31">
            <v>0</v>
          </cell>
          <cell r="H31">
            <v>0</v>
          </cell>
          <cell r="I31">
            <v>0</v>
          </cell>
          <cell r="J31">
            <v>1</v>
          </cell>
        </row>
        <row r="32">
          <cell r="C32" t="str">
            <v>DataServices</v>
          </cell>
          <cell r="D32">
            <v>1</v>
          </cell>
          <cell r="E32">
            <v>0</v>
          </cell>
          <cell r="F32">
            <v>0</v>
          </cell>
          <cell r="G32">
            <v>0</v>
          </cell>
          <cell r="H32">
            <v>0</v>
          </cell>
          <cell r="I32">
            <v>0</v>
          </cell>
          <cell r="J32">
            <v>1</v>
          </cell>
        </row>
        <row r="33">
          <cell r="C33" t="str">
            <v>TheftAlarm</v>
          </cell>
          <cell r="D33">
            <v>4</v>
          </cell>
          <cell r="E33">
            <v>0</v>
          </cell>
          <cell r="F33">
            <v>0</v>
          </cell>
          <cell r="G33">
            <v>0</v>
          </cell>
          <cell r="H33">
            <v>0</v>
          </cell>
          <cell r="I33">
            <v>0</v>
          </cell>
          <cell r="J33">
            <v>1</v>
          </cell>
        </row>
        <row r="34">
          <cell r="C34" t="str">
            <v>MyAlerts</v>
          </cell>
          <cell r="D34">
            <v>0</v>
          </cell>
          <cell r="E34">
            <v>0</v>
          </cell>
          <cell r="F34">
            <v>0</v>
          </cell>
          <cell r="G34">
            <v>0</v>
          </cell>
          <cell r="H34">
            <v>0</v>
          </cell>
          <cell r="I34"/>
          <cell r="J34"/>
        </row>
        <row r="35">
          <cell r="C35" t="str">
            <v>StolenVehicleLocator</v>
          </cell>
          <cell r="D35">
            <v>0</v>
          </cell>
          <cell r="E35">
            <v>0</v>
          </cell>
          <cell r="F35">
            <v>0</v>
          </cell>
          <cell r="G35">
            <v>0</v>
          </cell>
          <cell r="H35">
            <v>0</v>
          </cell>
          <cell r="I35"/>
          <cell r="J35"/>
        </row>
        <row r="36">
          <cell r="C36" t="str">
            <v>Audials(App)</v>
          </cell>
          <cell r="D36">
            <v>1</v>
          </cell>
          <cell r="E36">
            <v>0</v>
          </cell>
          <cell r="F36">
            <v>0</v>
          </cell>
          <cell r="G36">
            <v>0</v>
          </cell>
          <cell r="H36">
            <v>0</v>
          </cell>
          <cell r="I36">
            <v>0</v>
          </cell>
          <cell r="J36">
            <v>1</v>
          </cell>
        </row>
        <row r="37">
          <cell r="C37" t="str">
            <v>CarFinder</v>
          </cell>
          <cell r="D37">
            <v>5</v>
          </cell>
          <cell r="E37">
            <v>0</v>
          </cell>
          <cell r="F37">
            <v>0</v>
          </cell>
          <cell r="G37">
            <v>0</v>
          </cell>
          <cell r="H37">
            <v>0</v>
          </cell>
          <cell r="I37">
            <v>0</v>
          </cell>
          <cell r="J37">
            <v>1</v>
          </cell>
        </row>
        <row r="38">
          <cell r="C38" t="str">
            <v>NavCompanion</v>
          </cell>
          <cell r="D38">
            <v>6</v>
          </cell>
          <cell r="E38">
            <v>0</v>
          </cell>
          <cell r="F38">
            <v>0</v>
          </cell>
          <cell r="G38">
            <v>0</v>
          </cell>
          <cell r="H38">
            <v>0</v>
          </cell>
          <cell r="I38">
            <v>0</v>
          </cell>
          <cell r="J38">
            <v>1</v>
          </cell>
        </row>
        <row r="39">
          <cell r="C39" t="str">
            <v>Notifications</v>
          </cell>
          <cell r="D39">
            <v>1</v>
          </cell>
          <cell r="E39">
            <v>0</v>
          </cell>
          <cell r="F39">
            <v>0</v>
          </cell>
          <cell r="G39">
            <v>0</v>
          </cell>
          <cell r="H39">
            <v>0</v>
          </cell>
          <cell r="I39">
            <v>0</v>
          </cell>
          <cell r="J39">
            <v>1</v>
          </cell>
        </row>
        <row r="40">
          <cell r="C40" t="str">
            <v>PushNotifications</v>
          </cell>
          <cell r="D40">
            <v>1</v>
          </cell>
          <cell r="E40">
            <v>0</v>
          </cell>
          <cell r="F40">
            <v>0</v>
          </cell>
          <cell r="G40">
            <v>0</v>
          </cell>
          <cell r="H40">
            <v>0</v>
          </cell>
          <cell r="I40">
            <v>0</v>
          </cell>
          <cell r="J40">
            <v>1</v>
          </cell>
        </row>
        <row r="41">
          <cell r="C41" t="str">
            <v>Profiles</v>
          </cell>
          <cell r="D41">
            <v>14</v>
          </cell>
          <cell r="E41">
            <v>0</v>
          </cell>
          <cell r="F41">
            <v>0</v>
          </cell>
          <cell r="G41">
            <v>0</v>
          </cell>
          <cell r="H41">
            <v>0</v>
          </cell>
          <cell r="I41">
            <v>0</v>
          </cell>
          <cell r="J41">
            <v>1</v>
          </cell>
        </row>
        <row r="42">
          <cell r="C42" t="str">
            <v>TextStrings</v>
          </cell>
          <cell r="D42">
            <v>2</v>
          </cell>
          <cell r="E42">
            <v>0</v>
          </cell>
          <cell r="F42">
            <v>0</v>
          </cell>
          <cell r="G42">
            <v>0</v>
          </cell>
          <cell r="H42">
            <v>0</v>
          </cell>
          <cell r="I42">
            <v>0</v>
          </cell>
          <cell r="J42">
            <v>1</v>
          </cell>
        </row>
        <row r="43">
          <cell r="C43" t="str">
            <v>PrivacyMode(App)</v>
          </cell>
          <cell r="D43">
            <v>4</v>
          </cell>
          <cell r="E43">
            <v>0</v>
          </cell>
          <cell r="F43">
            <v>0</v>
          </cell>
          <cell r="G43">
            <v>0</v>
          </cell>
          <cell r="H43">
            <v>0</v>
          </cell>
          <cell r="I43">
            <v>0</v>
          </cell>
          <cell r="J43">
            <v>1</v>
          </cell>
        </row>
        <row r="44">
          <cell r="C44" t="str">
            <v>DriverGuide</v>
          </cell>
          <cell r="D44">
            <v>1</v>
          </cell>
          <cell r="E44">
            <v>0</v>
          </cell>
          <cell r="F44">
            <v>0</v>
          </cell>
          <cell r="G44">
            <v>0</v>
          </cell>
          <cell r="H44">
            <v>0</v>
          </cell>
          <cell r="I44">
            <v>0</v>
          </cell>
          <cell r="J44">
            <v>1</v>
          </cell>
        </row>
        <row r="45">
          <cell r="C45" t="str">
            <v>VoiceControl-Google-Siri</v>
          </cell>
          <cell r="D45">
            <v>25</v>
          </cell>
          <cell r="E45">
            <v>0</v>
          </cell>
          <cell r="F45">
            <v>0</v>
          </cell>
          <cell r="G45">
            <v>0</v>
          </cell>
          <cell r="H45">
            <v>0</v>
          </cell>
          <cell r="I45">
            <v>0</v>
          </cell>
          <cell r="J45">
            <v>1</v>
          </cell>
        </row>
        <row r="46">
          <cell r="C46" t="str">
            <v>RemoteParkAssist</v>
          </cell>
          <cell r="D46">
            <v>30</v>
          </cell>
          <cell r="E46">
            <v>0</v>
          </cell>
          <cell r="F46">
            <v>0</v>
          </cell>
          <cell r="G46">
            <v>0</v>
          </cell>
          <cell r="H46">
            <v>0</v>
          </cell>
          <cell r="I46">
            <v>0</v>
          </cell>
          <cell r="J46">
            <v>1</v>
          </cell>
        </row>
        <row r="47">
          <cell r="C47"/>
          <cell r="D47"/>
          <cell r="E47"/>
          <cell r="F47"/>
          <cell r="G47"/>
          <cell r="H47"/>
          <cell r="I47"/>
          <cell r="J47"/>
        </row>
        <row r="48">
          <cell r="C48"/>
          <cell r="D48"/>
          <cell r="E48"/>
          <cell r="F48"/>
          <cell r="G48"/>
          <cell r="H48"/>
          <cell r="I48"/>
          <cell r="J48"/>
        </row>
        <row r="49">
          <cell r="C49"/>
          <cell r="D49"/>
          <cell r="E49"/>
          <cell r="F49"/>
          <cell r="G49"/>
          <cell r="H49"/>
          <cell r="I49"/>
          <cell r="J49"/>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ChartBox"/>
      <sheetName val="Change_History"/>
      <sheetName val="DemoMode"/>
      <sheetName val="App_Registration_Pages-IDK"/>
      <sheetName val="Add_VIN"/>
      <sheetName val="MyBentleyAppLogin"/>
      <sheetName val="Nickname"/>
      <sheetName val="License(App)"/>
      <sheetName val="VehicleStatusReport"/>
      <sheetName val="RemoteLockUnlock"/>
      <sheetName val="RemoteHonk&amp;Flash"/>
      <sheetName val="SingleServiceActivation"/>
      <sheetName val="PHEV-MyCarStatistics"/>
      <sheetName val="PHEV-MyCabinComfort"/>
      <sheetName val="PHEV-MyBatteryCharge"/>
      <sheetName val="RemoteParkHeater"/>
      <sheetName val="RoadsideAssistanceCall(App)"/>
      <sheetName val="DataServices"/>
      <sheetName val="TheftAlarm"/>
      <sheetName val="MyAlerts"/>
      <sheetName val="StolenVehicleLocator"/>
      <sheetName val="Audials(App)"/>
      <sheetName val="CarFinder"/>
      <sheetName val="NavCompanion"/>
      <sheetName val="Notifications"/>
      <sheetName val="PushNotifications"/>
      <sheetName val="Profiles"/>
      <sheetName val="TextStrings"/>
      <sheetName val="PrivacyMode(App)"/>
      <sheetName val="DriverGuide"/>
      <sheetName val="VoiceControl-Google-Siri"/>
      <sheetName val="RemoteParkAssist"/>
    </sheetNames>
    <sheetDataSet>
      <sheetData sheetId="0">
        <row r="17">
          <cell r="C17" t="str">
            <v>DemoMode</v>
          </cell>
          <cell r="D17">
            <v>4</v>
          </cell>
          <cell r="E17">
            <v>0</v>
          </cell>
          <cell r="F17">
            <v>0</v>
          </cell>
          <cell r="G17">
            <v>0</v>
          </cell>
          <cell r="H17">
            <v>0</v>
          </cell>
          <cell r="I17">
            <v>0</v>
          </cell>
          <cell r="J17">
            <v>1</v>
          </cell>
        </row>
        <row r="18">
          <cell r="C18" t="str">
            <v>App_Registration_Pages-IDK</v>
          </cell>
          <cell r="D18">
            <v>7</v>
          </cell>
          <cell r="E18">
            <v>0</v>
          </cell>
          <cell r="F18">
            <v>0</v>
          </cell>
          <cell r="G18">
            <v>0</v>
          </cell>
          <cell r="H18">
            <v>0</v>
          </cell>
          <cell r="I18">
            <v>0</v>
          </cell>
          <cell r="J18">
            <v>1</v>
          </cell>
        </row>
        <row r="19">
          <cell r="C19" t="str">
            <v>Add_VIN</v>
          </cell>
          <cell r="D19">
            <v>9</v>
          </cell>
          <cell r="E19">
            <v>0</v>
          </cell>
          <cell r="F19">
            <v>0</v>
          </cell>
          <cell r="G19">
            <v>0</v>
          </cell>
          <cell r="H19">
            <v>0</v>
          </cell>
          <cell r="I19">
            <v>0</v>
          </cell>
          <cell r="J19">
            <v>1</v>
          </cell>
        </row>
        <row r="20">
          <cell r="C20" t="str">
            <v>MyBentleyAppLogin</v>
          </cell>
          <cell r="D20">
            <v>2</v>
          </cell>
          <cell r="E20">
            <v>0</v>
          </cell>
          <cell r="F20">
            <v>0</v>
          </cell>
          <cell r="G20">
            <v>0</v>
          </cell>
          <cell r="H20">
            <v>0</v>
          </cell>
          <cell r="I20">
            <v>0</v>
          </cell>
          <cell r="J20">
            <v>1</v>
          </cell>
        </row>
        <row r="21">
          <cell r="C21" t="str">
            <v>Nickname</v>
          </cell>
          <cell r="D21">
            <v>3</v>
          </cell>
          <cell r="E21">
            <v>0</v>
          </cell>
          <cell r="F21">
            <v>0</v>
          </cell>
          <cell r="G21">
            <v>0</v>
          </cell>
          <cell r="H21">
            <v>0</v>
          </cell>
          <cell r="I21">
            <v>0</v>
          </cell>
          <cell r="J21">
            <v>1</v>
          </cell>
        </row>
        <row r="22">
          <cell r="C22" t="str">
            <v>License(App)</v>
          </cell>
          <cell r="D22">
            <v>3</v>
          </cell>
          <cell r="E22">
            <v>0</v>
          </cell>
          <cell r="F22">
            <v>0</v>
          </cell>
          <cell r="G22">
            <v>0</v>
          </cell>
          <cell r="H22">
            <v>0</v>
          </cell>
          <cell r="I22">
            <v>0</v>
          </cell>
          <cell r="J22">
            <v>1</v>
          </cell>
        </row>
        <row r="23">
          <cell r="C23" t="str">
            <v>VehicleStatusReport</v>
          </cell>
          <cell r="D23">
            <v>15</v>
          </cell>
          <cell r="E23">
            <v>0</v>
          </cell>
          <cell r="F23">
            <v>0</v>
          </cell>
          <cell r="G23">
            <v>0</v>
          </cell>
          <cell r="H23">
            <v>0</v>
          </cell>
          <cell r="I23">
            <v>0</v>
          </cell>
          <cell r="J23">
            <v>1</v>
          </cell>
        </row>
        <row r="24">
          <cell r="C24" t="str">
            <v>RemoteLockUnlock</v>
          </cell>
          <cell r="D24">
            <v>5</v>
          </cell>
          <cell r="E24">
            <v>0</v>
          </cell>
          <cell r="F24">
            <v>0</v>
          </cell>
          <cell r="G24">
            <v>0</v>
          </cell>
          <cell r="H24">
            <v>0</v>
          </cell>
          <cell r="I24">
            <v>0</v>
          </cell>
          <cell r="J24">
            <v>1</v>
          </cell>
        </row>
        <row r="25">
          <cell r="C25" t="str">
            <v>RemoteHonk&amp;Flash</v>
          </cell>
          <cell r="D25">
            <v>0</v>
          </cell>
          <cell r="E25">
            <v>0</v>
          </cell>
          <cell r="F25">
            <v>0</v>
          </cell>
          <cell r="G25">
            <v>0</v>
          </cell>
          <cell r="H25">
            <v>0</v>
          </cell>
          <cell r="I25"/>
          <cell r="J25"/>
        </row>
        <row r="26">
          <cell r="C26" t="str">
            <v>SingleServiceActivation</v>
          </cell>
          <cell r="D26">
            <v>4</v>
          </cell>
          <cell r="E26">
            <v>0</v>
          </cell>
          <cell r="F26">
            <v>0</v>
          </cell>
          <cell r="G26">
            <v>0</v>
          </cell>
          <cell r="H26">
            <v>0</v>
          </cell>
          <cell r="I26">
            <v>0</v>
          </cell>
          <cell r="J26">
            <v>1</v>
          </cell>
        </row>
        <row r="27">
          <cell r="C27" t="str">
            <v>PHEV-MyCarStatistics</v>
          </cell>
          <cell r="D27">
            <v>5</v>
          </cell>
          <cell r="E27">
            <v>0</v>
          </cell>
          <cell r="F27">
            <v>0</v>
          </cell>
          <cell r="G27">
            <v>0</v>
          </cell>
          <cell r="H27">
            <v>0</v>
          </cell>
          <cell r="I27">
            <v>0</v>
          </cell>
          <cell r="J27">
            <v>1</v>
          </cell>
        </row>
        <row r="28">
          <cell r="C28" t="str">
            <v>PHEV-MyCabinComfort</v>
          </cell>
          <cell r="D28">
            <v>16</v>
          </cell>
          <cell r="E28">
            <v>0</v>
          </cell>
          <cell r="F28">
            <v>0</v>
          </cell>
          <cell r="G28">
            <v>0</v>
          </cell>
          <cell r="H28">
            <v>0</v>
          </cell>
          <cell r="I28">
            <v>0</v>
          </cell>
          <cell r="J28">
            <v>1</v>
          </cell>
        </row>
        <row r="29">
          <cell r="C29" t="str">
            <v>PHEV-MyBatteryCharge</v>
          </cell>
          <cell r="D29">
            <v>6</v>
          </cell>
          <cell r="E29">
            <v>0</v>
          </cell>
          <cell r="F29">
            <v>0</v>
          </cell>
          <cell r="G29">
            <v>0</v>
          </cell>
          <cell r="H29">
            <v>0</v>
          </cell>
          <cell r="I29">
            <v>0</v>
          </cell>
          <cell r="J29">
            <v>1</v>
          </cell>
        </row>
        <row r="30">
          <cell r="C30" t="str">
            <v>RemoteParkHeater</v>
          </cell>
          <cell r="D30">
            <v>7</v>
          </cell>
          <cell r="E30">
            <v>0</v>
          </cell>
          <cell r="F30">
            <v>0</v>
          </cell>
          <cell r="G30">
            <v>0</v>
          </cell>
          <cell r="H30">
            <v>0</v>
          </cell>
          <cell r="I30">
            <v>0</v>
          </cell>
          <cell r="J30">
            <v>1</v>
          </cell>
        </row>
        <row r="31">
          <cell r="C31" t="str">
            <v>RoadsideAssistanceCall(App)</v>
          </cell>
          <cell r="D31">
            <v>3</v>
          </cell>
          <cell r="E31">
            <v>0</v>
          </cell>
          <cell r="F31">
            <v>0</v>
          </cell>
          <cell r="G31">
            <v>0</v>
          </cell>
          <cell r="H31">
            <v>0</v>
          </cell>
          <cell r="I31">
            <v>0</v>
          </cell>
          <cell r="J31">
            <v>1</v>
          </cell>
        </row>
        <row r="32">
          <cell r="C32" t="str">
            <v>DataServices</v>
          </cell>
          <cell r="D32">
            <v>1</v>
          </cell>
          <cell r="E32">
            <v>0</v>
          </cell>
          <cell r="F32">
            <v>0</v>
          </cell>
          <cell r="G32">
            <v>0</v>
          </cell>
          <cell r="H32">
            <v>0</v>
          </cell>
          <cell r="I32">
            <v>0</v>
          </cell>
          <cell r="J32">
            <v>1</v>
          </cell>
        </row>
        <row r="33">
          <cell r="C33" t="str">
            <v>TheftAlarm</v>
          </cell>
          <cell r="D33">
            <v>4</v>
          </cell>
          <cell r="E33">
            <v>0</v>
          </cell>
          <cell r="F33">
            <v>0</v>
          </cell>
          <cell r="G33">
            <v>0</v>
          </cell>
          <cell r="H33">
            <v>0</v>
          </cell>
          <cell r="I33">
            <v>0</v>
          </cell>
          <cell r="J33">
            <v>1</v>
          </cell>
        </row>
        <row r="34">
          <cell r="C34" t="str">
            <v>MyAlerts</v>
          </cell>
          <cell r="D34">
            <v>0</v>
          </cell>
          <cell r="E34">
            <v>0</v>
          </cell>
          <cell r="F34">
            <v>0</v>
          </cell>
          <cell r="G34">
            <v>0</v>
          </cell>
          <cell r="H34">
            <v>0</v>
          </cell>
          <cell r="I34"/>
          <cell r="J34"/>
        </row>
        <row r="35">
          <cell r="C35" t="str">
            <v>StolenVehicleLocator</v>
          </cell>
          <cell r="D35">
            <v>0</v>
          </cell>
          <cell r="E35">
            <v>0</v>
          </cell>
          <cell r="F35">
            <v>0</v>
          </cell>
          <cell r="G35">
            <v>0</v>
          </cell>
          <cell r="H35">
            <v>0</v>
          </cell>
          <cell r="I35"/>
          <cell r="J35"/>
        </row>
        <row r="36">
          <cell r="C36" t="str">
            <v>Audials(App)</v>
          </cell>
          <cell r="D36">
            <v>1</v>
          </cell>
          <cell r="E36">
            <v>0</v>
          </cell>
          <cell r="F36">
            <v>0</v>
          </cell>
          <cell r="G36">
            <v>0</v>
          </cell>
          <cell r="H36">
            <v>0</v>
          </cell>
          <cell r="I36">
            <v>0</v>
          </cell>
          <cell r="J36">
            <v>1</v>
          </cell>
        </row>
        <row r="37">
          <cell r="C37" t="str">
            <v>CarFinder</v>
          </cell>
          <cell r="D37">
            <v>5</v>
          </cell>
          <cell r="E37">
            <v>0</v>
          </cell>
          <cell r="F37">
            <v>0</v>
          </cell>
          <cell r="G37">
            <v>0</v>
          </cell>
          <cell r="H37">
            <v>0</v>
          </cell>
          <cell r="I37">
            <v>0</v>
          </cell>
          <cell r="J37">
            <v>1</v>
          </cell>
        </row>
        <row r="38">
          <cell r="C38" t="str">
            <v>NavCompanion</v>
          </cell>
          <cell r="D38">
            <v>6</v>
          </cell>
          <cell r="E38">
            <v>0</v>
          </cell>
          <cell r="F38">
            <v>0</v>
          </cell>
          <cell r="G38">
            <v>0</v>
          </cell>
          <cell r="H38">
            <v>0</v>
          </cell>
          <cell r="I38">
            <v>0</v>
          </cell>
          <cell r="J38">
            <v>1</v>
          </cell>
        </row>
        <row r="39">
          <cell r="C39" t="str">
            <v>Notifications</v>
          </cell>
          <cell r="D39">
            <v>1</v>
          </cell>
          <cell r="E39">
            <v>0</v>
          </cell>
          <cell r="F39">
            <v>0</v>
          </cell>
          <cell r="G39">
            <v>0</v>
          </cell>
          <cell r="H39">
            <v>0</v>
          </cell>
          <cell r="I39">
            <v>0</v>
          </cell>
          <cell r="J39">
            <v>1</v>
          </cell>
        </row>
        <row r="40">
          <cell r="C40" t="str">
            <v>PushNotifications</v>
          </cell>
          <cell r="D40">
            <v>1</v>
          </cell>
          <cell r="E40">
            <v>0</v>
          </cell>
          <cell r="F40">
            <v>0</v>
          </cell>
          <cell r="G40">
            <v>0</v>
          </cell>
          <cell r="H40">
            <v>0</v>
          </cell>
          <cell r="I40">
            <v>0</v>
          </cell>
          <cell r="J40">
            <v>1</v>
          </cell>
        </row>
        <row r="41">
          <cell r="C41" t="str">
            <v>Profiles</v>
          </cell>
          <cell r="D41">
            <v>14</v>
          </cell>
          <cell r="E41">
            <v>0</v>
          </cell>
          <cell r="F41">
            <v>0</v>
          </cell>
          <cell r="G41">
            <v>0</v>
          </cell>
          <cell r="H41">
            <v>0</v>
          </cell>
          <cell r="I41">
            <v>0</v>
          </cell>
          <cell r="J41">
            <v>1</v>
          </cell>
        </row>
        <row r="42">
          <cell r="C42" t="str">
            <v>TextStrings</v>
          </cell>
          <cell r="D42">
            <v>2</v>
          </cell>
          <cell r="E42">
            <v>0</v>
          </cell>
          <cell r="F42">
            <v>0</v>
          </cell>
          <cell r="G42">
            <v>0</v>
          </cell>
          <cell r="H42">
            <v>0</v>
          </cell>
          <cell r="I42">
            <v>0</v>
          </cell>
          <cell r="J42">
            <v>1</v>
          </cell>
        </row>
        <row r="43">
          <cell r="C43" t="str">
            <v>PrivacyMode(App)</v>
          </cell>
          <cell r="D43">
            <v>4</v>
          </cell>
          <cell r="E43">
            <v>0</v>
          </cell>
          <cell r="F43">
            <v>0</v>
          </cell>
          <cell r="G43">
            <v>0</v>
          </cell>
          <cell r="H43">
            <v>0</v>
          </cell>
          <cell r="I43">
            <v>0</v>
          </cell>
          <cell r="J43">
            <v>1</v>
          </cell>
        </row>
        <row r="44">
          <cell r="C44" t="str">
            <v>DriverGuide</v>
          </cell>
          <cell r="D44">
            <v>1</v>
          </cell>
          <cell r="E44">
            <v>0</v>
          </cell>
          <cell r="F44">
            <v>0</v>
          </cell>
          <cell r="G44">
            <v>0</v>
          </cell>
          <cell r="H44">
            <v>0</v>
          </cell>
          <cell r="I44">
            <v>0</v>
          </cell>
          <cell r="J44">
            <v>1</v>
          </cell>
        </row>
        <row r="45">
          <cell r="C45" t="str">
            <v>VoiceControl-Google-Siri</v>
          </cell>
          <cell r="D45">
            <v>25</v>
          </cell>
          <cell r="E45">
            <v>0</v>
          </cell>
          <cell r="F45">
            <v>0</v>
          </cell>
          <cell r="G45">
            <v>0</v>
          </cell>
          <cell r="H45">
            <v>0</v>
          </cell>
          <cell r="I45">
            <v>0</v>
          </cell>
          <cell r="J45">
            <v>1</v>
          </cell>
        </row>
        <row r="46">
          <cell r="C46" t="str">
            <v>RemoteParkAssist</v>
          </cell>
          <cell r="D46">
            <v>30</v>
          </cell>
          <cell r="E46">
            <v>0</v>
          </cell>
          <cell r="F46">
            <v>0</v>
          </cell>
          <cell r="G46">
            <v>0</v>
          </cell>
          <cell r="H46">
            <v>0</v>
          </cell>
          <cell r="I46">
            <v>0</v>
          </cell>
          <cell r="J46">
            <v>1</v>
          </cell>
        </row>
        <row r="47">
          <cell r="C47"/>
          <cell r="D47"/>
          <cell r="E47"/>
          <cell r="F47"/>
          <cell r="G47"/>
          <cell r="H47"/>
          <cell r="I47"/>
          <cell r="J47"/>
        </row>
        <row r="48">
          <cell r="C48"/>
          <cell r="D48"/>
          <cell r="E48"/>
          <cell r="F48"/>
          <cell r="G48"/>
          <cell r="H48"/>
          <cell r="I48"/>
          <cell r="J48"/>
        </row>
        <row r="49">
          <cell r="C49"/>
          <cell r="D49"/>
          <cell r="E49"/>
          <cell r="F49"/>
          <cell r="G49"/>
          <cell r="H49"/>
          <cell r="I49"/>
          <cell r="J49"/>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ChartBox"/>
      <sheetName val="Change_History"/>
      <sheetName val="DemoMode"/>
      <sheetName val="Customer_Enrollment"/>
      <sheetName val="App_Registration_Pages-IDK"/>
      <sheetName val="Add_VIN"/>
      <sheetName val="MyBentleyAppLogin"/>
      <sheetName val="Nickname"/>
      <sheetName val="License(App)"/>
      <sheetName val="VehicleStatusReport"/>
      <sheetName val="RemoteLockUnlock"/>
      <sheetName val="SingleServiceActivation"/>
      <sheetName val="PHEV-MyCarStatistics"/>
      <sheetName val="PHEV-MyCabinComfort"/>
      <sheetName val="PHEV-MyBatteryCharge"/>
      <sheetName val="RoadsideAssistanceCall(App)"/>
      <sheetName val="DataServices"/>
      <sheetName val="TheftAlarm"/>
      <sheetName val="Audials(App)"/>
      <sheetName val="CarFinder"/>
      <sheetName val="NavCompanion"/>
      <sheetName val="Notifications"/>
      <sheetName val="PushNotifications"/>
      <sheetName val="Profiles"/>
      <sheetName val="TextStrings"/>
      <sheetName val="PrivacyMode(App)"/>
      <sheetName val="RemoteParkAssist"/>
      <sheetName val="VehicleTrackingSystem"/>
    </sheetNames>
    <sheetDataSet>
      <sheetData sheetId="0">
        <row r="15">
          <cell r="C15" t="str">
            <v>DemoMode</v>
          </cell>
        </row>
        <row r="16">
          <cell r="C16" t="str">
            <v>Customer_Enrollment</v>
          </cell>
        </row>
        <row r="17">
          <cell r="C17" t="str">
            <v>App_Registration_Pages-IDK</v>
          </cell>
        </row>
        <row r="18">
          <cell r="C18" t="str">
            <v>Add_VIN</v>
          </cell>
        </row>
        <row r="19">
          <cell r="C19" t="str">
            <v>MyBentleyAppLogin</v>
          </cell>
        </row>
        <row r="20">
          <cell r="C20" t="str">
            <v>Nickname</v>
          </cell>
        </row>
        <row r="21">
          <cell r="C21" t="str">
            <v>License(App)</v>
          </cell>
        </row>
        <row r="22">
          <cell r="C22" t="str">
            <v>VehicleStatusReport</v>
          </cell>
        </row>
        <row r="23">
          <cell r="C23" t="str">
            <v>RemoteLockUnlock</v>
          </cell>
        </row>
        <row r="24">
          <cell r="C24" t="str">
            <v>SingleServiceActivation</v>
          </cell>
        </row>
        <row r="25">
          <cell r="C25" t="str">
            <v>PHEV-MyCarStatistics</v>
          </cell>
        </row>
        <row r="26">
          <cell r="C26" t="str">
            <v>PHEV-MyCabinComfort</v>
          </cell>
        </row>
        <row r="27">
          <cell r="C27" t="str">
            <v>PHEV-MyBatteryCharge</v>
          </cell>
        </row>
        <row r="28">
          <cell r="C28" t="str">
            <v>RoadsideAssistanceCall(App)</v>
          </cell>
        </row>
        <row r="29">
          <cell r="C29" t="str">
            <v>DataServices</v>
          </cell>
        </row>
        <row r="30">
          <cell r="C30" t="str">
            <v>TheftAlarm</v>
          </cell>
        </row>
        <row r="31">
          <cell r="C31" t="str">
            <v>Audials(App)</v>
          </cell>
        </row>
        <row r="32">
          <cell r="C32" t="str">
            <v>CarFinder</v>
          </cell>
        </row>
        <row r="33">
          <cell r="C33" t="str">
            <v>NavCompanion</v>
          </cell>
        </row>
        <row r="34">
          <cell r="C34" t="str">
            <v>Notifications</v>
          </cell>
        </row>
        <row r="35">
          <cell r="C35" t="str">
            <v>PushNotifications</v>
          </cell>
        </row>
        <row r="36">
          <cell r="C36" t="str">
            <v>Profiles</v>
          </cell>
        </row>
        <row r="37">
          <cell r="C37" t="str">
            <v>TextStrings</v>
          </cell>
        </row>
        <row r="38">
          <cell r="C38" t="str">
            <v>PrivacyMode(App)</v>
          </cell>
        </row>
        <row r="39">
          <cell r="C39" t="str">
            <v>RemoteParkAssist</v>
          </cell>
        </row>
        <row r="40">
          <cell r="C40" t="str">
            <v>VehicleTrackingSystem</v>
          </cell>
        </row>
        <row r="41">
          <cell r="C41" t="str">
            <v>Total Count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8"/>
  <sheetViews>
    <sheetView zoomScale="90" zoomScaleNormal="90" workbookViewId="0">
      <selection activeCell="G8" sqref="G8"/>
    </sheetView>
  </sheetViews>
  <sheetFormatPr defaultColWidth="8.7265625" defaultRowHeight="14.5" x14ac:dyDescent="0.35"/>
  <cols>
    <col min="1" max="1" width="3.26953125" customWidth="1"/>
    <col min="2" max="2" width="6.81640625" customWidth="1"/>
    <col min="3" max="3" width="16.26953125" customWidth="1"/>
    <col min="4" max="4" width="14.453125" customWidth="1"/>
    <col min="5" max="5" width="11.26953125" style="32" customWidth="1"/>
    <col min="6" max="6" width="37.26953125" customWidth="1"/>
    <col min="7" max="7" width="48.54296875" customWidth="1"/>
    <col min="8" max="8" width="55.1796875" customWidth="1"/>
    <col min="9" max="9" width="39.453125" customWidth="1"/>
    <col min="10" max="10" width="47" customWidth="1"/>
    <col min="11" max="11" width="14.54296875" customWidth="1"/>
    <col min="12" max="12" width="19.453125" customWidth="1"/>
    <col min="13" max="13" width="18.81640625" customWidth="1"/>
    <col min="14" max="14" width="13.26953125" customWidth="1"/>
  </cols>
  <sheetData>
    <row r="1" spans="2:14" ht="15.75" customHeight="1" thickBot="1" x14ac:dyDescent="0.4"/>
    <row r="2" spans="2:14" ht="29.25" customHeight="1" thickBot="1" x14ac:dyDescent="0.4">
      <c r="B2" s="226" t="s">
        <v>0</v>
      </c>
      <c r="C2" s="227"/>
      <c r="D2" s="227"/>
      <c r="E2" s="227"/>
      <c r="F2" s="227"/>
      <c r="G2" s="227"/>
      <c r="H2" s="227"/>
      <c r="I2" s="227"/>
      <c r="J2" s="227"/>
      <c r="K2" s="227"/>
      <c r="L2" s="227"/>
      <c r="M2" s="228"/>
    </row>
    <row r="3" spans="2:14" ht="16.5" customHeight="1" thickBot="1" x14ac:dyDescent="0.4">
      <c r="B3" s="229" t="s">
        <v>1</v>
      </c>
      <c r="C3" s="224"/>
      <c r="D3" s="68"/>
      <c r="E3" s="69"/>
      <c r="F3" s="223" t="s">
        <v>2</v>
      </c>
      <c r="G3" s="224"/>
      <c r="H3" s="224"/>
      <c r="I3" s="224"/>
      <c r="J3" s="224"/>
      <c r="K3" s="224"/>
      <c r="L3" s="224"/>
      <c r="M3" s="225"/>
    </row>
    <row r="4" spans="2:14" ht="48" customHeight="1" thickBot="1" x14ac:dyDescent="0.4">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2:14" ht="63" customHeight="1" x14ac:dyDescent="0.4">
      <c r="B5" s="127">
        <v>1</v>
      </c>
      <c r="C5" s="117" t="s">
        <v>16</v>
      </c>
      <c r="D5" s="117" t="s">
        <v>17</v>
      </c>
      <c r="E5" s="118">
        <f>(3+2+2)/3</f>
        <v>2.3333333333333335</v>
      </c>
      <c r="F5" s="145" t="s">
        <v>18</v>
      </c>
      <c r="G5" s="120" t="s">
        <v>19</v>
      </c>
      <c r="H5" s="67"/>
      <c r="I5" s="120" t="s">
        <v>20</v>
      </c>
      <c r="J5" s="120" t="s">
        <v>21</v>
      </c>
      <c r="K5" s="170"/>
      <c r="L5" s="121"/>
      <c r="M5" s="171"/>
      <c r="N5" s="172"/>
    </row>
    <row r="6" spans="2:14" ht="47.25" customHeight="1" x14ac:dyDescent="0.45">
      <c r="B6" s="50">
        <v>2</v>
      </c>
      <c r="C6" s="51" t="s">
        <v>16</v>
      </c>
      <c r="D6" s="51" t="s">
        <v>17</v>
      </c>
      <c r="E6" s="52">
        <f>(5+3+3)/3</f>
        <v>3.6666666666666665</v>
      </c>
      <c r="F6" s="67" t="s">
        <v>22</v>
      </c>
      <c r="G6" s="67" t="s">
        <v>23</v>
      </c>
      <c r="H6" s="67"/>
      <c r="I6" s="53" t="s">
        <v>24</v>
      </c>
      <c r="J6" s="70" t="s">
        <v>25</v>
      </c>
      <c r="K6" s="51"/>
      <c r="L6" s="54"/>
      <c r="M6" s="71"/>
      <c r="N6" s="72"/>
    </row>
    <row r="7" spans="2:14" ht="299.25" customHeight="1" x14ac:dyDescent="0.45">
      <c r="B7" s="50">
        <v>3</v>
      </c>
      <c r="C7" s="51" t="s">
        <v>16</v>
      </c>
      <c r="D7" s="51" t="s">
        <v>26</v>
      </c>
      <c r="E7" s="52">
        <f>(3+3+2)/3</f>
        <v>2.6666666666666665</v>
      </c>
      <c r="F7" s="67" t="s">
        <v>27</v>
      </c>
      <c r="G7" s="67" t="s">
        <v>28</v>
      </c>
      <c r="H7" s="67"/>
      <c r="I7" s="53" t="s">
        <v>29</v>
      </c>
      <c r="J7" s="53" t="s">
        <v>30</v>
      </c>
      <c r="K7" s="51"/>
      <c r="L7" s="54"/>
      <c r="M7" s="71"/>
      <c r="N7" s="72"/>
    </row>
    <row r="8" spans="2:14" ht="252" customHeight="1" x14ac:dyDescent="0.45">
      <c r="B8" s="50">
        <v>4</v>
      </c>
      <c r="C8" s="51" t="s">
        <v>16</v>
      </c>
      <c r="D8" s="51" t="s">
        <v>26</v>
      </c>
      <c r="E8" s="52">
        <f>(3+3+3)/3</f>
        <v>3</v>
      </c>
      <c r="F8" s="67" t="s">
        <v>31</v>
      </c>
      <c r="G8" s="67" t="s">
        <v>32</v>
      </c>
      <c r="H8" s="67"/>
      <c r="I8" s="53" t="s">
        <v>33</v>
      </c>
      <c r="J8" s="53" t="s">
        <v>34</v>
      </c>
      <c r="K8" s="51"/>
      <c r="L8" s="54"/>
      <c r="M8" s="71"/>
      <c r="N8" s="72"/>
    </row>
    <row r="9" spans="2:14" ht="94.5" customHeight="1" x14ac:dyDescent="0.45">
      <c r="B9" s="50">
        <v>5</v>
      </c>
      <c r="C9" s="51" t="s">
        <v>16</v>
      </c>
      <c r="D9" s="51" t="s">
        <v>26</v>
      </c>
      <c r="E9" s="52">
        <f>(3+3+2)/3</f>
        <v>2.6666666666666665</v>
      </c>
      <c r="F9" s="67" t="s">
        <v>35</v>
      </c>
      <c r="G9" s="67" t="s">
        <v>32</v>
      </c>
      <c r="H9" s="67"/>
      <c r="I9" s="53" t="s">
        <v>36</v>
      </c>
      <c r="J9" s="53" t="s">
        <v>37</v>
      </c>
      <c r="K9" s="51"/>
      <c r="L9" s="54"/>
      <c r="M9" s="71"/>
      <c r="N9" s="72"/>
    </row>
    <row r="10" spans="2:14" ht="189" customHeight="1" x14ac:dyDescent="0.45">
      <c r="B10" s="50">
        <v>6</v>
      </c>
      <c r="C10" s="51" t="s">
        <v>16</v>
      </c>
      <c r="D10" s="51" t="s">
        <v>26</v>
      </c>
      <c r="E10" s="52">
        <f>(3+3+3)/3</f>
        <v>3</v>
      </c>
      <c r="F10" s="67" t="s">
        <v>38</v>
      </c>
      <c r="G10" s="67" t="s">
        <v>39</v>
      </c>
      <c r="H10" s="67"/>
      <c r="I10" s="53" t="s">
        <v>40</v>
      </c>
      <c r="J10" s="53" t="s">
        <v>41</v>
      </c>
      <c r="K10" s="51"/>
      <c r="L10" s="54"/>
      <c r="M10" s="71"/>
      <c r="N10" s="72"/>
    </row>
    <row r="11" spans="2:14" ht="330.75" customHeight="1" x14ac:dyDescent="0.45">
      <c r="B11" s="50">
        <v>7</v>
      </c>
      <c r="C11" s="51" t="s">
        <v>16</v>
      </c>
      <c r="D11" s="51" t="s">
        <v>26</v>
      </c>
      <c r="E11" s="52">
        <f>(3+3+3)/3</f>
        <v>3</v>
      </c>
      <c r="F11" s="67" t="s">
        <v>42</v>
      </c>
      <c r="G11" s="67" t="s">
        <v>43</v>
      </c>
      <c r="H11" s="67"/>
      <c r="I11" s="53" t="s">
        <v>44</v>
      </c>
      <c r="J11" s="53" t="s">
        <v>45</v>
      </c>
      <c r="K11" s="51"/>
      <c r="L11" s="54"/>
      <c r="M11" s="71"/>
      <c r="N11" s="72"/>
    </row>
    <row r="12" spans="2:14" ht="204.75" customHeight="1" x14ac:dyDescent="0.45">
      <c r="B12" s="50">
        <v>8</v>
      </c>
      <c r="C12" s="51" t="s">
        <v>16</v>
      </c>
      <c r="D12" s="51" t="s">
        <v>26</v>
      </c>
      <c r="E12" s="52">
        <f>(3+5+5)/3</f>
        <v>4.333333333333333</v>
      </c>
      <c r="F12" s="67" t="s">
        <v>46</v>
      </c>
      <c r="G12" s="67" t="s">
        <v>47</v>
      </c>
      <c r="H12" s="67"/>
      <c r="I12" s="53" t="s">
        <v>48</v>
      </c>
      <c r="J12" s="53" t="s">
        <v>49</v>
      </c>
      <c r="K12" s="51"/>
      <c r="L12" s="54"/>
      <c r="M12" s="71"/>
      <c r="N12" s="72"/>
    </row>
    <row r="13" spans="2:14" ht="236.25" customHeight="1" x14ac:dyDescent="0.45">
      <c r="B13" s="50">
        <v>9</v>
      </c>
      <c r="C13" s="51" t="s">
        <v>16</v>
      </c>
      <c r="D13" s="51" t="s">
        <v>26</v>
      </c>
      <c r="E13" s="52">
        <f>(5+3+5)/3</f>
        <v>4.333333333333333</v>
      </c>
      <c r="F13" s="67" t="s">
        <v>50</v>
      </c>
      <c r="G13" s="67" t="s">
        <v>47</v>
      </c>
      <c r="H13" s="67"/>
      <c r="I13" s="53" t="s">
        <v>51</v>
      </c>
      <c r="J13" s="53" t="s">
        <v>52</v>
      </c>
      <c r="K13" s="51"/>
      <c r="L13" s="54"/>
      <c r="M13" s="71"/>
      <c r="N13" s="72"/>
    </row>
    <row r="14" spans="2:14" ht="252" customHeight="1" x14ac:dyDescent="0.45">
      <c r="B14" s="50">
        <v>10</v>
      </c>
      <c r="C14" s="51" t="s">
        <v>16</v>
      </c>
      <c r="D14" s="51" t="s">
        <v>26</v>
      </c>
      <c r="E14" s="52">
        <f>(3+3+3)/3</f>
        <v>3</v>
      </c>
      <c r="F14" s="67" t="s">
        <v>53</v>
      </c>
      <c r="G14" s="67" t="s">
        <v>54</v>
      </c>
      <c r="H14" s="67"/>
      <c r="I14" s="53" t="s">
        <v>55</v>
      </c>
      <c r="J14" s="53" t="s">
        <v>56</v>
      </c>
      <c r="K14" s="51"/>
      <c r="L14" s="54"/>
      <c r="M14" s="71"/>
      <c r="N14" s="72"/>
    </row>
    <row r="15" spans="2:14" ht="47.25" customHeight="1" x14ac:dyDescent="0.45">
      <c r="B15" s="50">
        <v>11</v>
      </c>
      <c r="C15" s="51" t="s">
        <v>16</v>
      </c>
      <c r="D15" s="51" t="s">
        <v>26</v>
      </c>
      <c r="E15" s="52">
        <f>(5+5+10)/3</f>
        <v>6.666666666666667</v>
      </c>
      <c r="F15" s="53" t="s">
        <v>57</v>
      </c>
      <c r="G15" s="67" t="s">
        <v>58</v>
      </c>
      <c r="H15" s="67"/>
      <c r="I15" s="53" t="s">
        <v>59</v>
      </c>
      <c r="J15" s="53" t="s">
        <v>60</v>
      </c>
      <c r="K15" s="51"/>
      <c r="L15" s="54"/>
      <c r="M15" s="71"/>
      <c r="N15" s="72"/>
    </row>
    <row r="16" spans="2:14" ht="63" customHeight="1" x14ac:dyDescent="0.45">
      <c r="B16" s="50">
        <v>12</v>
      </c>
      <c r="C16" s="51" t="s">
        <v>16</v>
      </c>
      <c r="D16" s="51" t="s">
        <v>17</v>
      </c>
      <c r="E16" s="52">
        <f>(2+2+2)/3</f>
        <v>2</v>
      </c>
      <c r="F16" s="67" t="s">
        <v>61</v>
      </c>
      <c r="G16" s="67" t="s">
        <v>62</v>
      </c>
      <c r="H16" s="67"/>
      <c r="I16" s="53" t="s">
        <v>63</v>
      </c>
      <c r="J16" s="53" t="s">
        <v>64</v>
      </c>
      <c r="K16" s="51"/>
      <c r="L16" s="54"/>
      <c r="M16" s="71"/>
      <c r="N16" s="72"/>
    </row>
    <row r="17" spans="1:14" ht="47.25" customHeight="1" x14ac:dyDescent="0.45">
      <c r="B17" s="50">
        <v>13</v>
      </c>
      <c r="C17" s="51" t="s">
        <v>16</v>
      </c>
      <c r="D17" s="51" t="s">
        <v>17</v>
      </c>
      <c r="E17" s="52">
        <f>(2+1+1)/3</f>
        <v>1.3333333333333333</v>
      </c>
      <c r="F17" s="53" t="s">
        <v>65</v>
      </c>
      <c r="G17" s="67" t="s">
        <v>66</v>
      </c>
      <c r="H17" s="67"/>
      <c r="I17" s="53" t="s">
        <v>67</v>
      </c>
      <c r="J17" s="53" t="s">
        <v>64</v>
      </c>
      <c r="K17" s="51"/>
      <c r="L17" s="54"/>
      <c r="M17" s="71"/>
      <c r="N17" s="72"/>
    </row>
    <row r="18" spans="1:14" s="89" customFormat="1" ht="32.25" customHeight="1" thickBot="1" x14ac:dyDescent="0.5">
      <c r="A18" s="91"/>
      <c r="B18" s="109">
        <v>14</v>
      </c>
      <c r="C18" s="92" t="s">
        <v>16</v>
      </c>
      <c r="D18" s="92" t="s">
        <v>26</v>
      </c>
      <c r="E18" s="93">
        <v>10</v>
      </c>
      <c r="F18" s="94" t="s">
        <v>57</v>
      </c>
      <c r="G18" s="94" t="s">
        <v>68</v>
      </c>
      <c r="H18" s="67"/>
      <c r="I18" s="94" t="s">
        <v>59</v>
      </c>
      <c r="J18" s="94" t="s">
        <v>60</v>
      </c>
      <c r="K18" s="94"/>
      <c r="L18" s="96"/>
      <c r="M18" s="94"/>
      <c r="N18" s="97"/>
    </row>
  </sheetData>
  <mergeCells count="3">
    <mergeCell ref="F3:M3"/>
    <mergeCell ref="B2:M2"/>
    <mergeCell ref="B3:C3"/>
  </mergeCells>
  <conditionalFormatting sqref="K5:K17">
    <cfRule type="cellIs" dxfId="524" priority="15" operator="equal">
      <formula>"Not Tested"</formula>
    </cfRule>
    <cfRule type="cellIs" dxfId="523" priority="16" operator="equal">
      <formula>"Not Applicable"</formula>
    </cfRule>
    <cfRule type="cellIs" dxfId="522" priority="17" operator="equal">
      <formula>"Pass"</formula>
    </cfRule>
    <cfRule type="cellIs" dxfId="521" priority="18" operator="equal">
      <formula>"Not Tested"</formula>
    </cfRule>
    <cfRule type="cellIs" dxfId="520" priority="19" operator="equal">
      <formula>"Not Applicable"</formula>
    </cfRule>
    <cfRule type="cellIs" dxfId="519" priority="20" operator="equal">
      <formula>"Fail"</formula>
    </cfRule>
    <cfRule type="cellIs" dxfId="518" priority="21" operator="equal">
      <formula>"Pass"</formula>
    </cfRule>
  </conditionalFormatting>
  <conditionalFormatting sqref="L5:L18">
    <cfRule type="cellIs" dxfId="517" priority="1" operator="equal">
      <formula>"Cancelled"</formula>
    </cfRule>
    <cfRule type="cellIs" dxfId="516" priority="2" operator="equal">
      <formula>"N/A"</formula>
    </cfRule>
    <cfRule type="cellIs" dxfId="515" priority="3" operator="equal">
      <formula>"Pass"</formula>
    </cfRule>
    <cfRule type="cellIs" dxfId="514" priority="4" operator="equal">
      <formula>"In-Progress"</formula>
    </cfRule>
    <cfRule type="cellIs" dxfId="513" priority="5" operator="equal">
      <formula>"Blocked"</formula>
    </cfRule>
    <cfRule type="cellIs" dxfId="512" priority="6" operator="equal">
      <formula>"Fail"</formula>
    </cfRule>
    <cfRule type="cellIs" dxfId="511" priority="7" operator="equal">
      <formula>"Pass"</formula>
    </cfRule>
  </conditionalFormatting>
  <dataValidations count="1">
    <dataValidation type="list" allowBlank="1" showInputMessage="1" showErrorMessage="1" sqref="L5:L18" xr:uid="{00000000-0002-0000-0000-000000000000}">
      <formula1>"Pass, Fail, Blocked, NA"</formula1>
    </dataValidation>
  </dataValidations>
  <pageMargins left="0.7" right="0.7" top="0.75" bottom="0.75" header="0.3" footer="0.3"/>
  <pageSetup paperSize="9" orientation="portrait"/>
  <headerFooter>
    <oddHeader>&amp;L&amp;"Arial"&amp;1 &amp;K000000INTERNAL#</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9"/>
  <dimension ref="A1:N44"/>
  <sheetViews>
    <sheetView tabSelected="1" topLeftCell="A25" zoomScale="60" zoomScaleNormal="60" workbookViewId="0">
      <selection activeCell="G45" sqref="G45"/>
    </sheetView>
  </sheetViews>
  <sheetFormatPr defaultColWidth="8.7265625" defaultRowHeight="15.5" x14ac:dyDescent="0.45"/>
  <cols>
    <col min="1" max="1" width="8.7265625" style="46" customWidth="1"/>
    <col min="2" max="2" width="10.26953125" style="43" customWidth="1"/>
    <col min="3" max="3" width="19" style="80" customWidth="1"/>
    <col min="4" max="4" width="18.54296875" style="43" customWidth="1"/>
    <col min="5" max="5" width="11.26953125" style="81" customWidth="1"/>
    <col min="6" max="6" width="60.1796875" style="43" customWidth="1"/>
    <col min="7" max="7" width="48.81640625" style="43" customWidth="1"/>
    <col min="8" max="8" width="78.26953125" style="43" customWidth="1"/>
    <col min="9" max="9" width="52.26953125" style="44" customWidth="1"/>
    <col min="10" max="10" width="43.54296875" style="44" customWidth="1"/>
    <col min="11" max="11" width="13.1796875" style="44" customWidth="1"/>
    <col min="12" max="12" width="19.453125" style="43" customWidth="1"/>
    <col min="13" max="13" width="18.81640625" style="43" customWidth="1"/>
    <col min="14" max="14" width="18.7265625" style="46" customWidth="1"/>
    <col min="15" max="61" width="8.7265625" style="46" customWidth="1"/>
    <col min="62" max="16384" width="8.7265625" style="46"/>
  </cols>
  <sheetData>
    <row r="1" spans="1:14" ht="16.5" customHeight="1" thickBot="1" x14ac:dyDescent="0.5"/>
    <row r="2" spans="1:14" ht="29.25" customHeight="1" thickBot="1" x14ac:dyDescent="0.4">
      <c r="B2" s="226" t="s">
        <v>69</v>
      </c>
      <c r="C2" s="227"/>
      <c r="D2" s="227"/>
      <c r="E2" s="227"/>
      <c r="F2" s="227"/>
      <c r="G2" s="227"/>
      <c r="H2" s="227"/>
      <c r="I2" s="227"/>
      <c r="J2" s="227"/>
      <c r="K2" s="227"/>
      <c r="L2" s="227"/>
      <c r="M2" s="228"/>
    </row>
    <row r="3" spans="1:14" ht="30.75" customHeight="1" thickBot="1" x14ac:dyDescent="0.4">
      <c r="B3" s="98" t="s">
        <v>70</v>
      </c>
      <c r="C3" s="99"/>
      <c r="D3" s="100"/>
      <c r="E3" s="100"/>
      <c r="F3" s="230" t="s">
        <v>71</v>
      </c>
      <c r="G3" s="224"/>
      <c r="H3" s="224"/>
      <c r="I3" s="224"/>
      <c r="J3" s="224"/>
      <c r="K3" s="224"/>
      <c r="L3" s="224"/>
      <c r="M3" s="225"/>
    </row>
    <row r="4" spans="1:14" ht="30.75" customHeight="1" thickBot="1" x14ac:dyDescent="0.4">
      <c r="A4"/>
      <c r="B4" s="167" t="s">
        <v>3</v>
      </c>
      <c r="C4" s="168" t="s">
        <v>4</v>
      </c>
      <c r="D4" s="168" t="s">
        <v>5</v>
      </c>
      <c r="E4" s="168" t="s">
        <v>6</v>
      </c>
      <c r="F4" s="168" t="s">
        <v>7</v>
      </c>
      <c r="G4" s="168" t="s">
        <v>8</v>
      </c>
      <c r="H4" s="168" t="s">
        <v>9</v>
      </c>
      <c r="I4" s="168" t="s">
        <v>10</v>
      </c>
      <c r="J4" s="168" t="s">
        <v>11</v>
      </c>
      <c r="K4" s="168" t="s">
        <v>12</v>
      </c>
      <c r="L4" s="168" t="s">
        <v>13</v>
      </c>
      <c r="M4" s="168" t="s">
        <v>72</v>
      </c>
      <c r="N4" s="169" t="s">
        <v>15</v>
      </c>
    </row>
    <row r="5" spans="1:14" ht="270" customHeight="1" x14ac:dyDescent="0.35">
      <c r="B5" s="156">
        <v>1</v>
      </c>
      <c r="C5" s="157" t="s">
        <v>73</v>
      </c>
      <c r="D5" s="157" t="s">
        <v>17</v>
      </c>
      <c r="E5" s="158">
        <v>5</v>
      </c>
      <c r="F5" s="159" t="s">
        <v>74</v>
      </c>
      <c r="G5" s="159" t="s">
        <v>75</v>
      </c>
      <c r="H5" s="103" t="s">
        <v>76</v>
      </c>
      <c r="I5" s="159" t="s">
        <v>77</v>
      </c>
      <c r="J5" s="159" t="s">
        <v>78</v>
      </c>
      <c r="K5" s="160"/>
      <c r="L5" s="161"/>
      <c r="M5" s="160"/>
      <c r="N5" s="162"/>
    </row>
    <row r="6" spans="1:14" ht="270" customHeight="1" x14ac:dyDescent="0.35">
      <c r="B6" s="163">
        <v>2</v>
      </c>
      <c r="C6" s="101" t="s">
        <v>73</v>
      </c>
      <c r="D6" s="101" t="s">
        <v>17</v>
      </c>
      <c r="E6" s="102">
        <v>5</v>
      </c>
      <c r="F6" s="103" t="s">
        <v>79</v>
      </c>
      <c r="G6" s="103" t="s">
        <v>80</v>
      </c>
      <c r="H6" s="103" t="s">
        <v>81</v>
      </c>
      <c r="I6" s="103" t="s">
        <v>82</v>
      </c>
      <c r="J6" s="103" t="s">
        <v>83</v>
      </c>
      <c r="K6" s="104"/>
      <c r="L6" s="105"/>
      <c r="M6" s="104"/>
      <c r="N6" s="164"/>
    </row>
    <row r="7" spans="1:14" ht="195" customHeight="1" x14ac:dyDescent="0.35">
      <c r="B7" s="163">
        <v>3</v>
      </c>
      <c r="C7" s="101" t="s">
        <v>73</v>
      </c>
      <c r="D7" s="101" t="s">
        <v>17</v>
      </c>
      <c r="E7" s="102">
        <v>5</v>
      </c>
      <c r="F7" s="103" t="s">
        <v>84</v>
      </c>
      <c r="G7" s="103" t="s">
        <v>85</v>
      </c>
      <c r="H7" s="103" t="s">
        <v>86</v>
      </c>
      <c r="I7" s="103" t="s">
        <v>87</v>
      </c>
      <c r="J7" s="103" t="s">
        <v>88</v>
      </c>
      <c r="K7" s="155"/>
      <c r="L7" s="105"/>
      <c r="M7" s="16"/>
      <c r="N7" s="164"/>
    </row>
    <row r="8" spans="1:14" ht="240" customHeight="1" x14ac:dyDescent="0.35">
      <c r="B8" s="163">
        <v>4</v>
      </c>
      <c r="C8" s="101" t="s">
        <v>73</v>
      </c>
      <c r="D8" s="101" t="s">
        <v>17</v>
      </c>
      <c r="E8" s="102">
        <v>5</v>
      </c>
      <c r="F8" s="103" t="s">
        <v>89</v>
      </c>
      <c r="G8" s="103" t="s">
        <v>85</v>
      </c>
      <c r="H8" s="103" t="s">
        <v>86</v>
      </c>
      <c r="I8" s="103" t="s">
        <v>90</v>
      </c>
      <c r="J8" s="103" t="s">
        <v>91</v>
      </c>
      <c r="K8" s="155"/>
      <c r="L8" s="105"/>
      <c r="M8" s="16"/>
      <c r="N8" s="164"/>
    </row>
    <row r="9" spans="1:14" ht="150" customHeight="1" x14ac:dyDescent="0.35">
      <c r="B9" s="163">
        <v>5</v>
      </c>
      <c r="C9" s="101" t="s">
        <v>73</v>
      </c>
      <c r="D9" s="101" t="s">
        <v>17</v>
      </c>
      <c r="E9" s="102">
        <v>5</v>
      </c>
      <c r="F9" s="16" t="s">
        <v>92</v>
      </c>
      <c r="G9" s="103" t="s">
        <v>93</v>
      </c>
      <c r="H9" s="103" t="s">
        <v>94</v>
      </c>
      <c r="I9" s="16" t="s">
        <v>95</v>
      </c>
      <c r="J9" s="16" t="s">
        <v>96</v>
      </c>
      <c r="K9" s="155"/>
      <c r="L9" s="105"/>
      <c r="M9" s="16"/>
      <c r="N9" s="165"/>
    </row>
    <row r="10" spans="1:14" ht="225" customHeight="1" x14ac:dyDescent="0.35">
      <c r="B10" s="163">
        <v>6</v>
      </c>
      <c r="C10" s="101" t="s">
        <v>73</v>
      </c>
      <c r="D10" s="101" t="s">
        <v>26</v>
      </c>
      <c r="E10" s="102">
        <v>5</v>
      </c>
      <c r="F10" s="16" t="s">
        <v>97</v>
      </c>
      <c r="G10" s="103" t="s">
        <v>85</v>
      </c>
      <c r="H10" s="103" t="s">
        <v>86</v>
      </c>
      <c r="I10" s="103" t="s">
        <v>98</v>
      </c>
      <c r="J10" s="103" t="s">
        <v>99</v>
      </c>
      <c r="K10" s="155"/>
      <c r="L10" s="105"/>
      <c r="M10" s="16"/>
      <c r="N10" s="165"/>
    </row>
    <row r="11" spans="1:14" ht="236.25" customHeight="1" x14ac:dyDescent="0.35">
      <c r="B11" s="163">
        <v>7</v>
      </c>
      <c r="C11" s="101" t="s">
        <v>73</v>
      </c>
      <c r="D11" s="101" t="s">
        <v>17</v>
      </c>
      <c r="E11" s="102">
        <v>5</v>
      </c>
      <c r="F11" s="103" t="s">
        <v>100</v>
      </c>
      <c r="G11" s="103" t="s">
        <v>93</v>
      </c>
      <c r="H11" s="103" t="s">
        <v>94</v>
      </c>
      <c r="I11" s="16" t="s">
        <v>101</v>
      </c>
      <c r="J11" s="16" t="s">
        <v>102</v>
      </c>
      <c r="K11" s="155"/>
      <c r="L11" s="105"/>
      <c r="M11" s="16"/>
      <c r="N11" s="164"/>
    </row>
    <row r="12" spans="1:14" ht="225" customHeight="1" x14ac:dyDescent="0.35">
      <c r="B12" s="163">
        <v>8</v>
      </c>
      <c r="C12" s="101" t="s">
        <v>73</v>
      </c>
      <c r="D12" s="101" t="s">
        <v>103</v>
      </c>
      <c r="E12" s="102">
        <v>5</v>
      </c>
      <c r="F12" s="103" t="s">
        <v>104</v>
      </c>
      <c r="G12" s="103" t="s">
        <v>85</v>
      </c>
      <c r="H12" s="103" t="s">
        <v>86</v>
      </c>
      <c r="I12" s="16" t="s">
        <v>105</v>
      </c>
      <c r="J12" s="16" t="s">
        <v>106</v>
      </c>
      <c r="K12" s="155"/>
      <c r="L12" s="105"/>
      <c r="M12" s="16"/>
      <c r="N12" s="164"/>
    </row>
    <row r="13" spans="1:14" ht="135" customHeight="1" x14ac:dyDescent="0.35">
      <c r="B13" s="163">
        <v>9</v>
      </c>
      <c r="C13" s="101" t="s">
        <v>73</v>
      </c>
      <c r="D13" s="101" t="s">
        <v>26</v>
      </c>
      <c r="E13" s="102">
        <v>5</v>
      </c>
      <c r="F13" s="103" t="s">
        <v>107</v>
      </c>
      <c r="G13" s="103" t="s">
        <v>85</v>
      </c>
      <c r="H13" s="103" t="s">
        <v>86</v>
      </c>
      <c r="I13" s="16" t="s">
        <v>108</v>
      </c>
      <c r="J13" s="16" t="s">
        <v>109</v>
      </c>
      <c r="K13" s="155"/>
      <c r="L13" s="105"/>
      <c r="M13" s="16"/>
      <c r="N13" s="164"/>
    </row>
    <row r="14" spans="1:14" ht="409.5" customHeight="1" x14ac:dyDescent="0.35">
      <c r="B14" s="163">
        <v>10</v>
      </c>
      <c r="C14" s="101" t="s">
        <v>73</v>
      </c>
      <c r="D14" s="101" t="s">
        <v>103</v>
      </c>
      <c r="E14" s="102">
        <v>5</v>
      </c>
      <c r="F14" s="16" t="s">
        <v>110</v>
      </c>
      <c r="G14" s="16" t="s">
        <v>111</v>
      </c>
      <c r="H14" s="103" t="s">
        <v>86</v>
      </c>
      <c r="I14" s="16" t="s">
        <v>112</v>
      </c>
      <c r="J14" s="16" t="s">
        <v>113</v>
      </c>
      <c r="K14" s="155"/>
      <c r="L14" s="105"/>
      <c r="M14" s="16"/>
      <c r="N14" s="164"/>
    </row>
    <row r="15" spans="1:14" ht="409.5" customHeight="1" x14ac:dyDescent="0.35">
      <c r="B15" s="163">
        <v>11</v>
      </c>
      <c r="C15" s="101" t="s">
        <v>73</v>
      </c>
      <c r="D15" s="101" t="s">
        <v>26</v>
      </c>
      <c r="E15" s="102">
        <v>5</v>
      </c>
      <c r="F15" s="16" t="s">
        <v>114</v>
      </c>
      <c r="G15" s="16" t="s">
        <v>85</v>
      </c>
      <c r="H15" s="103" t="s">
        <v>86</v>
      </c>
      <c r="I15" s="16" t="s">
        <v>115</v>
      </c>
      <c r="J15" s="16" t="s">
        <v>116</v>
      </c>
      <c r="K15" s="155"/>
      <c r="L15" s="105"/>
      <c r="M15" s="16"/>
      <c r="N15" s="164"/>
    </row>
    <row r="16" spans="1:14" ht="409.5" customHeight="1" x14ac:dyDescent="0.35">
      <c r="B16" s="163">
        <v>12</v>
      </c>
      <c r="C16" s="101" t="s">
        <v>73</v>
      </c>
      <c r="D16" s="101" t="s">
        <v>103</v>
      </c>
      <c r="E16" s="102">
        <v>5</v>
      </c>
      <c r="F16" s="16" t="s">
        <v>117</v>
      </c>
      <c r="G16" s="16" t="s">
        <v>85</v>
      </c>
      <c r="H16" s="103" t="s">
        <v>86</v>
      </c>
      <c r="I16" s="16" t="s">
        <v>118</v>
      </c>
      <c r="J16" s="16" t="s">
        <v>119</v>
      </c>
      <c r="K16" s="155"/>
      <c r="L16" s="105"/>
      <c r="M16" s="16"/>
      <c r="N16" s="164"/>
    </row>
    <row r="17" spans="2:14" ht="240" customHeight="1" x14ac:dyDescent="0.35">
      <c r="B17" s="163">
        <v>13</v>
      </c>
      <c r="C17" s="101" t="s">
        <v>73</v>
      </c>
      <c r="D17" s="101" t="s">
        <v>103</v>
      </c>
      <c r="E17" s="102">
        <v>5</v>
      </c>
      <c r="F17" s="16" t="s">
        <v>120</v>
      </c>
      <c r="G17" s="16" t="s">
        <v>121</v>
      </c>
      <c r="H17" s="103" t="s">
        <v>122</v>
      </c>
      <c r="I17" s="16" t="s">
        <v>123</v>
      </c>
      <c r="J17" s="16" t="s">
        <v>124</v>
      </c>
      <c r="K17" s="155"/>
      <c r="L17" s="105"/>
      <c r="M17" s="16"/>
      <c r="N17" s="164"/>
    </row>
    <row r="18" spans="2:14" ht="270" customHeight="1" x14ac:dyDescent="0.35">
      <c r="B18" s="163">
        <v>14</v>
      </c>
      <c r="C18" s="101" t="s">
        <v>73</v>
      </c>
      <c r="D18" s="101" t="s">
        <v>26</v>
      </c>
      <c r="E18" s="102">
        <v>5</v>
      </c>
      <c r="F18" s="16" t="s">
        <v>125</v>
      </c>
      <c r="G18" s="16" t="s">
        <v>85</v>
      </c>
      <c r="H18" s="103" t="s">
        <v>126</v>
      </c>
      <c r="I18" s="16" t="s">
        <v>127</v>
      </c>
      <c r="J18" s="16" t="s">
        <v>128</v>
      </c>
      <c r="K18" s="155"/>
      <c r="L18" s="105"/>
      <c r="M18" s="16"/>
      <c r="N18" s="164"/>
    </row>
    <row r="19" spans="2:14" ht="210" customHeight="1" x14ac:dyDescent="0.35">
      <c r="B19" s="163">
        <v>15</v>
      </c>
      <c r="C19" s="101" t="s">
        <v>73</v>
      </c>
      <c r="D19" s="101" t="s">
        <v>17</v>
      </c>
      <c r="E19" s="102">
        <v>5</v>
      </c>
      <c r="F19" s="16" t="s">
        <v>129</v>
      </c>
      <c r="G19" s="106" t="s">
        <v>130</v>
      </c>
      <c r="H19" s="103" t="s">
        <v>131</v>
      </c>
      <c r="I19" s="16" t="s">
        <v>132</v>
      </c>
      <c r="J19" s="16" t="s">
        <v>133</v>
      </c>
      <c r="K19" s="155"/>
      <c r="L19" s="105"/>
      <c r="M19" s="16"/>
      <c r="N19" s="164"/>
    </row>
    <row r="20" spans="2:14" ht="360" customHeight="1" x14ac:dyDescent="0.35">
      <c r="B20" s="163">
        <v>16</v>
      </c>
      <c r="C20" s="101" t="s">
        <v>73</v>
      </c>
      <c r="D20" s="101" t="s">
        <v>103</v>
      </c>
      <c r="E20" s="102">
        <v>5</v>
      </c>
      <c r="F20" s="16" t="s">
        <v>134</v>
      </c>
      <c r="G20" s="106" t="s">
        <v>130</v>
      </c>
      <c r="H20" s="103" t="s">
        <v>131</v>
      </c>
      <c r="I20" s="16" t="s">
        <v>135</v>
      </c>
      <c r="J20" s="16" t="s">
        <v>136</v>
      </c>
      <c r="K20" s="155"/>
      <c r="L20" s="105"/>
      <c r="M20" s="16"/>
      <c r="N20" s="164"/>
    </row>
    <row r="21" spans="2:14" ht="300" customHeight="1" x14ac:dyDescent="0.35">
      <c r="B21" s="163">
        <v>17</v>
      </c>
      <c r="C21" s="101" t="s">
        <v>73</v>
      </c>
      <c r="D21" s="101" t="s">
        <v>17</v>
      </c>
      <c r="E21" s="102">
        <v>5</v>
      </c>
      <c r="F21" s="16" t="s">
        <v>137</v>
      </c>
      <c r="G21" s="103" t="s">
        <v>93</v>
      </c>
      <c r="H21" s="103" t="s">
        <v>94</v>
      </c>
      <c r="I21" s="16" t="s">
        <v>138</v>
      </c>
      <c r="J21" s="16" t="s">
        <v>139</v>
      </c>
      <c r="K21" s="155"/>
      <c r="L21" s="105"/>
      <c r="M21" s="16"/>
      <c r="N21" s="166"/>
    </row>
    <row r="22" spans="2:14" ht="345" customHeight="1" x14ac:dyDescent="0.35">
      <c r="B22" s="163">
        <v>18</v>
      </c>
      <c r="C22" s="101" t="s">
        <v>73</v>
      </c>
      <c r="D22" s="101" t="s">
        <v>17</v>
      </c>
      <c r="E22" s="102">
        <v>5</v>
      </c>
      <c r="F22" s="16" t="s">
        <v>140</v>
      </c>
      <c r="G22" s="106" t="s">
        <v>130</v>
      </c>
      <c r="H22" s="103" t="s">
        <v>131</v>
      </c>
      <c r="I22" s="16" t="s">
        <v>141</v>
      </c>
      <c r="J22" s="16" t="s">
        <v>142</v>
      </c>
      <c r="K22" s="155"/>
      <c r="L22" s="105"/>
      <c r="M22" s="16"/>
      <c r="N22" s="166"/>
    </row>
    <row r="23" spans="2:14" ht="330" customHeight="1" x14ac:dyDescent="0.35">
      <c r="B23" s="163">
        <v>19</v>
      </c>
      <c r="C23" s="101" t="s">
        <v>73</v>
      </c>
      <c r="D23" s="101" t="s">
        <v>103</v>
      </c>
      <c r="E23" s="102">
        <v>5</v>
      </c>
      <c r="F23" s="16" t="s">
        <v>143</v>
      </c>
      <c r="G23" s="106" t="s">
        <v>130</v>
      </c>
      <c r="H23" s="103" t="s">
        <v>131</v>
      </c>
      <c r="I23" s="16" t="s">
        <v>144</v>
      </c>
      <c r="J23" s="16" t="s">
        <v>145</v>
      </c>
      <c r="K23" s="16"/>
      <c r="L23" s="105"/>
      <c r="M23" s="16"/>
      <c r="N23" s="164"/>
    </row>
    <row r="24" spans="2:14" ht="240" customHeight="1" x14ac:dyDescent="0.35">
      <c r="B24" s="163">
        <v>20</v>
      </c>
      <c r="C24" s="101" t="s">
        <v>73</v>
      </c>
      <c r="D24" s="101" t="s">
        <v>26</v>
      </c>
      <c r="E24" s="102">
        <v>5</v>
      </c>
      <c r="F24" s="16" t="s">
        <v>146</v>
      </c>
      <c r="G24" s="106" t="s">
        <v>147</v>
      </c>
      <c r="H24" s="103" t="s">
        <v>148</v>
      </c>
      <c r="I24" s="16" t="s">
        <v>149</v>
      </c>
      <c r="J24" s="16" t="s">
        <v>150</v>
      </c>
      <c r="K24" s="155"/>
      <c r="L24" s="105"/>
      <c r="M24" s="16"/>
      <c r="N24" s="164"/>
    </row>
    <row r="25" spans="2:14" ht="390" customHeight="1" x14ac:dyDescent="0.35">
      <c r="B25" s="163">
        <v>21</v>
      </c>
      <c r="C25" s="101" t="s">
        <v>73</v>
      </c>
      <c r="D25" s="101" t="s">
        <v>17</v>
      </c>
      <c r="E25" s="102">
        <v>5</v>
      </c>
      <c r="F25" s="16" t="s">
        <v>151</v>
      </c>
      <c r="G25" s="103" t="s">
        <v>152</v>
      </c>
      <c r="H25" s="103" t="s">
        <v>153</v>
      </c>
      <c r="I25" s="16" t="s">
        <v>154</v>
      </c>
      <c r="J25" s="16" t="s">
        <v>155</v>
      </c>
      <c r="K25" s="155"/>
      <c r="L25" s="105"/>
      <c r="M25" s="16"/>
      <c r="N25" s="164"/>
    </row>
    <row r="26" spans="2:14" ht="348" customHeight="1" x14ac:dyDescent="0.35">
      <c r="B26" s="163">
        <v>22</v>
      </c>
      <c r="C26" s="101" t="s">
        <v>73</v>
      </c>
      <c r="D26" s="101" t="s">
        <v>17</v>
      </c>
      <c r="E26" s="102">
        <v>5</v>
      </c>
      <c r="F26" s="16" t="s">
        <v>156</v>
      </c>
      <c r="G26" s="103" t="s">
        <v>152</v>
      </c>
      <c r="H26" s="103" t="s">
        <v>153</v>
      </c>
      <c r="I26" s="16" t="s">
        <v>157</v>
      </c>
      <c r="J26" s="16" t="s">
        <v>158</v>
      </c>
      <c r="K26" s="155"/>
      <c r="L26" s="105"/>
      <c r="M26" s="16"/>
      <c r="N26" s="164"/>
    </row>
    <row r="27" spans="2:14" ht="409.5" customHeight="1" x14ac:dyDescent="0.35">
      <c r="B27" s="163">
        <v>23</v>
      </c>
      <c r="C27" s="101" t="s">
        <v>73</v>
      </c>
      <c r="D27" s="101" t="s">
        <v>17</v>
      </c>
      <c r="E27" s="102">
        <v>5</v>
      </c>
      <c r="F27" s="103" t="s">
        <v>159</v>
      </c>
      <c r="G27" s="103" t="s">
        <v>160</v>
      </c>
      <c r="H27" s="103" t="s">
        <v>161</v>
      </c>
      <c r="I27" s="103" t="s">
        <v>162</v>
      </c>
      <c r="J27" s="103" t="s">
        <v>163</v>
      </c>
      <c r="K27" s="155"/>
      <c r="L27" s="105"/>
      <c r="M27" s="16"/>
      <c r="N27" s="164"/>
    </row>
    <row r="28" spans="2:14" ht="346.5" customHeight="1" x14ac:dyDescent="0.35">
      <c r="B28" s="82">
        <v>24</v>
      </c>
      <c r="C28" s="83" t="s">
        <v>164</v>
      </c>
      <c r="D28" s="83" t="s">
        <v>17</v>
      </c>
      <c r="E28" s="84">
        <v>5</v>
      </c>
      <c r="F28" s="53" t="s">
        <v>165</v>
      </c>
      <c r="G28" s="79" t="s">
        <v>160</v>
      </c>
      <c r="H28" s="79" t="s">
        <v>166</v>
      </c>
      <c r="I28" s="79" t="s">
        <v>167</v>
      </c>
      <c r="J28" s="79" t="s">
        <v>168</v>
      </c>
      <c r="K28" s="54"/>
      <c r="L28" s="51"/>
      <c r="M28" s="53"/>
      <c r="N28" s="110"/>
    </row>
    <row r="29" spans="2:14" ht="409.5" customHeight="1" x14ac:dyDescent="0.35">
      <c r="B29" s="82">
        <v>25</v>
      </c>
      <c r="C29" s="83" t="s">
        <v>164</v>
      </c>
      <c r="D29" s="83" t="s">
        <v>17</v>
      </c>
      <c r="E29" s="84">
        <v>5</v>
      </c>
      <c r="F29" s="53" t="s">
        <v>169</v>
      </c>
      <c r="G29" s="79" t="s">
        <v>160</v>
      </c>
      <c r="H29" s="79" t="s">
        <v>170</v>
      </c>
      <c r="I29" s="79" t="s">
        <v>171</v>
      </c>
      <c r="J29" s="79" t="s">
        <v>172</v>
      </c>
      <c r="K29" s="54"/>
      <c r="L29" s="51"/>
      <c r="M29" s="53"/>
      <c r="N29" s="110"/>
    </row>
    <row r="30" spans="2:14" ht="393.75" customHeight="1" x14ac:dyDescent="0.35">
      <c r="B30" s="82">
        <v>26</v>
      </c>
      <c r="C30" s="83" t="s">
        <v>164</v>
      </c>
      <c r="D30" s="83" t="s">
        <v>17</v>
      </c>
      <c r="E30" s="84">
        <v>5</v>
      </c>
      <c r="F30" s="53" t="s">
        <v>173</v>
      </c>
      <c r="G30" s="79" t="s">
        <v>160</v>
      </c>
      <c r="H30" s="79" t="s">
        <v>174</v>
      </c>
      <c r="I30" s="79" t="s">
        <v>175</v>
      </c>
      <c r="J30" s="79" t="s">
        <v>176</v>
      </c>
      <c r="K30" s="133"/>
      <c r="L30" s="51"/>
      <c r="M30" s="133"/>
      <c r="N30" s="110"/>
    </row>
    <row r="31" spans="2:14" ht="409.5" customHeight="1" x14ac:dyDescent="0.35">
      <c r="B31" s="82">
        <v>27</v>
      </c>
      <c r="C31" s="83" t="s">
        <v>164</v>
      </c>
      <c r="D31" s="83" t="s">
        <v>17</v>
      </c>
      <c r="E31" s="84">
        <v>5</v>
      </c>
      <c r="F31" s="53" t="s">
        <v>177</v>
      </c>
      <c r="G31" s="79" t="s">
        <v>178</v>
      </c>
      <c r="H31" s="103" t="s">
        <v>179</v>
      </c>
      <c r="I31" s="79" t="s">
        <v>180</v>
      </c>
      <c r="J31" s="79" t="s">
        <v>181</v>
      </c>
      <c r="K31" s="133"/>
      <c r="L31" s="51"/>
      <c r="M31" s="133"/>
      <c r="N31" s="110"/>
    </row>
    <row r="32" spans="2:14" ht="409.5" customHeight="1" x14ac:dyDescent="0.35">
      <c r="B32" s="82">
        <v>28</v>
      </c>
      <c r="C32" s="83" t="s">
        <v>164</v>
      </c>
      <c r="D32" s="83" t="s">
        <v>17</v>
      </c>
      <c r="E32" s="84">
        <v>5</v>
      </c>
      <c r="F32" s="53" t="s">
        <v>182</v>
      </c>
      <c r="G32" s="79" t="s">
        <v>178</v>
      </c>
      <c r="H32" s="103" t="s">
        <v>183</v>
      </c>
      <c r="I32" s="79" t="s">
        <v>184</v>
      </c>
      <c r="J32" s="79" t="s">
        <v>185</v>
      </c>
      <c r="K32" s="133"/>
      <c r="L32" s="51"/>
      <c r="M32" s="133"/>
      <c r="N32" s="110"/>
    </row>
    <row r="33" spans="1:14" ht="393.75" customHeight="1" x14ac:dyDescent="0.35">
      <c r="B33" s="82">
        <v>29</v>
      </c>
      <c r="C33" s="83" t="s">
        <v>164</v>
      </c>
      <c r="D33" s="83" t="s">
        <v>17</v>
      </c>
      <c r="E33" s="84">
        <v>5</v>
      </c>
      <c r="F33" s="53" t="s">
        <v>186</v>
      </c>
      <c r="G33" s="79" t="s">
        <v>187</v>
      </c>
      <c r="H33" s="103" t="s">
        <v>188</v>
      </c>
      <c r="I33" s="79" t="s">
        <v>189</v>
      </c>
      <c r="J33" s="79" t="s">
        <v>190</v>
      </c>
      <c r="K33" s="133"/>
      <c r="L33" s="51"/>
      <c r="M33" s="133"/>
      <c r="N33" s="110"/>
    </row>
    <row r="34" spans="1:14" ht="157.5" customHeight="1" x14ac:dyDescent="0.35">
      <c r="B34" s="82">
        <v>30</v>
      </c>
      <c r="C34" s="83" t="s">
        <v>164</v>
      </c>
      <c r="D34" s="83" t="s">
        <v>17</v>
      </c>
      <c r="E34" s="84">
        <v>5</v>
      </c>
      <c r="F34" s="53" t="s">
        <v>191</v>
      </c>
      <c r="G34" s="79" t="s">
        <v>178</v>
      </c>
      <c r="H34" s="103" t="s">
        <v>192</v>
      </c>
      <c r="I34" s="53" t="s">
        <v>193</v>
      </c>
      <c r="J34" s="53" t="s">
        <v>194</v>
      </c>
      <c r="K34" s="54"/>
      <c r="L34" s="51"/>
      <c r="M34" s="53"/>
      <c r="N34" s="110"/>
    </row>
    <row r="35" spans="1:14" ht="252" customHeight="1" x14ac:dyDescent="0.35">
      <c r="B35" s="82">
        <v>31</v>
      </c>
      <c r="C35" s="83" t="s">
        <v>164</v>
      </c>
      <c r="D35" s="83" t="s">
        <v>17</v>
      </c>
      <c r="E35" s="84">
        <v>5</v>
      </c>
      <c r="F35" s="53" t="s">
        <v>195</v>
      </c>
      <c r="G35" s="79" t="s">
        <v>178</v>
      </c>
      <c r="H35" s="103" t="s">
        <v>192</v>
      </c>
      <c r="I35" s="53" t="s">
        <v>196</v>
      </c>
      <c r="J35" s="53" t="s">
        <v>197</v>
      </c>
      <c r="K35" s="54"/>
      <c r="L35" s="51"/>
      <c r="M35" s="53"/>
      <c r="N35" s="110"/>
    </row>
    <row r="36" spans="1:14" ht="330.75" customHeight="1" x14ac:dyDescent="0.35">
      <c r="B36" s="82">
        <v>32</v>
      </c>
      <c r="C36" s="83" t="s">
        <v>164</v>
      </c>
      <c r="D36" s="83" t="s">
        <v>17</v>
      </c>
      <c r="E36" s="84">
        <v>5</v>
      </c>
      <c r="F36" s="53" t="s">
        <v>198</v>
      </c>
      <c r="G36" s="79" t="s">
        <v>178</v>
      </c>
      <c r="H36" s="103" t="s">
        <v>192</v>
      </c>
      <c r="I36" s="53" t="s">
        <v>199</v>
      </c>
      <c r="J36" s="53" t="s">
        <v>200</v>
      </c>
      <c r="K36" s="54"/>
      <c r="L36" s="51"/>
      <c r="M36" s="53"/>
      <c r="N36" s="110"/>
    </row>
    <row r="37" spans="1:14" ht="409.5" customHeight="1" x14ac:dyDescent="0.35">
      <c r="B37" s="50">
        <v>33</v>
      </c>
      <c r="C37" s="51" t="s">
        <v>164</v>
      </c>
      <c r="D37" s="51" t="s">
        <v>103</v>
      </c>
      <c r="E37" s="84">
        <v>5</v>
      </c>
      <c r="F37" s="53" t="s">
        <v>201</v>
      </c>
      <c r="G37" s="79" t="s">
        <v>178</v>
      </c>
      <c r="H37" s="103" t="s">
        <v>192</v>
      </c>
      <c r="I37" s="53" t="s">
        <v>202</v>
      </c>
      <c r="J37" s="53" t="s">
        <v>203</v>
      </c>
      <c r="K37" s="54"/>
      <c r="L37" s="51"/>
      <c r="M37" s="53"/>
      <c r="N37" s="110"/>
    </row>
    <row r="38" spans="1:14" ht="378" customHeight="1" x14ac:dyDescent="0.35">
      <c r="B38" s="82">
        <v>34</v>
      </c>
      <c r="C38" s="83" t="s">
        <v>164</v>
      </c>
      <c r="D38" s="83" t="s">
        <v>17</v>
      </c>
      <c r="E38" s="84">
        <v>5</v>
      </c>
      <c r="F38" s="53" t="s">
        <v>204</v>
      </c>
      <c r="G38" s="53" t="s">
        <v>121</v>
      </c>
      <c r="H38" s="103" t="s">
        <v>205</v>
      </c>
      <c r="I38" s="53" t="s">
        <v>206</v>
      </c>
      <c r="J38" s="53" t="s">
        <v>207</v>
      </c>
      <c r="K38" s="54"/>
      <c r="L38" s="51"/>
      <c r="M38" s="53"/>
      <c r="N38" s="110"/>
    </row>
    <row r="39" spans="1:14" ht="267.75" customHeight="1" x14ac:dyDescent="0.35">
      <c r="B39" s="82">
        <v>35</v>
      </c>
      <c r="C39" s="83" t="s">
        <v>164</v>
      </c>
      <c r="D39" s="83" t="s">
        <v>103</v>
      </c>
      <c r="E39" s="84">
        <v>5</v>
      </c>
      <c r="F39" s="53" t="s">
        <v>208</v>
      </c>
      <c r="G39" s="79" t="s">
        <v>178</v>
      </c>
      <c r="H39" s="103" t="s">
        <v>192</v>
      </c>
      <c r="I39" s="53" t="s">
        <v>209</v>
      </c>
      <c r="J39" s="53" t="s">
        <v>210</v>
      </c>
      <c r="K39" s="54"/>
      <c r="L39" s="51"/>
      <c r="M39" s="53"/>
      <c r="N39" s="110"/>
    </row>
    <row r="40" spans="1:14" ht="252" customHeight="1" x14ac:dyDescent="0.35">
      <c r="B40" s="82">
        <v>36</v>
      </c>
      <c r="C40" s="83" t="s">
        <v>164</v>
      </c>
      <c r="D40" s="83" t="s">
        <v>103</v>
      </c>
      <c r="E40" s="84">
        <v>5</v>
      </c>
      <c r="F40" s="53" t="s">
        <v>211</v>
      </c>
      <c r="G40" s="53" t="s">
        <v>121</v>
      </c>
      <c r="H40" s="103" t="s">
        <v>205</v>
      </c>
      <c r="I40" s="53" t="s">
        <v>212</v>
      </c>
      <c r="J40" s="53" t="s">
        <v>213</v>
      </c>
      <c r="K40" s="54"/>
      <c r="L40" s="51"/>
      <c r="M40" s="53"/>
      <c r="N40" s="110"/>
    </row>
    <row r="41" spans="1:14" ht="409.5" customHeight="1" x14ac:dyDescent="0.35">
      <c r="B41" s="82">
        <v>37</v>
      </c>
      <c r="C41" s="83" t="s">
        <v>164</v>
      </c>
      <c r="D41" s="83" t="s">
        <v>103</v>
      </c>
      <c r="E41" s="84">
        <v>5</v>
      </c>
      <c r="F41" s="53" t="s">
        <v>214</v>
      </c>
      <c r="G41" s="53" t="s">
        <v>121</v>
      </c>
      <c r="H41" s="103" t="s">
        <v>205</v>
      </c>
      <c r="I41" s="53" t="s">
        <v>215</v>
      </c>
      <c r="J41" s="53" t="s">
        <v>216</v>
      </c>
      <c r="K41" s="54"/>
      <c r="L41" s="51"/>
      <c r="M41" s="53"/>
      <c r="N41" s="110"/>
    </row>
    <row r="42" spans="1:14" ht="409.5" customHeight="1" x14ac:dyDescent="0.35">
      <c r="B42" s="82">
        <v>38</v>
      </c>
      <c r="C42" s="83" t="s">
        <v>164</v>
      </c>
      <c r="D42" s="83" t="s">
        <v>103</v>
      </c>
      <c r="E42" s="84">
        <v>5</v>
      </c>
      <c r="F42" s="53" t="s">
        <v>217</v>
      </c>
      <c r="G42" s="53" t="s">
        <v>121</v>
      </c>
      <c r="H42" s="103" t="s">
        <v>218</v>
      </c>
      <c r="I42" s="53" t="s">
        <v>219</v>
      </c>
      <c r="J42" s="53" t="s">
        <v>220</v>
      </c>
      <c r="K42" s="54"/>
      <c r="L42" s="51"/>
      <c r="M42" s="53"/>
      <c r="N42" s="110"/>
    </row>
    <row r="43" spans="1:14" ht="409.5" customHeight="1" x14ac:dyDescent="0.35">
      <c r="B43" s="82">
        <v>39</v>
      </c>
      <c r="C43" s="83" t="s">
        <v>164</v>
      </c>
      <c r="D43" s="83" t="s">
        <v>103</v>
      </c>
      <c r="E43" s="84">
        <v>5</v>
      </c>
      <c r="F43" s="53" t="s">
        <v>221</v>
      </c>
      <c r="G43" s="53" t="s">
        <v>121</v>
      </c>
      <c r="H43" s="103" t="s">
        <v>222</v>
      </c>
      <c r="I43" s="53" t="s">
        <v>223</v>
      </c>
      <c r="J43" s="53" t="s">
        <v>224</v>
      </c>
      <c r="K43" s="54"/>
      <c r="L43" s="51"/>
      <c r="M43" s="53"/>
      <c r="N43" s="110"/>
    </row>
    <row r="44" spans="1:14" s="89" customFormat="1" ht="32.25" customHeight="1" thickBot="1" x14ac:dyDescent="0.5">
      <c r="A44" s="91"/>
      <c r="B44" s="109">
        <v>40</v>
      </c>
      <c r="C44" s="92" t="s">
        <v>16</v>
      </c>
      <c r="D44" s="92" t="s">
        <v>26</v>
      </c>
      <c r="E44" s="93">
        <v>10</v>
      </c>
      <c r="F44" s="94" t="s">
        <v>57</v>
      </c>
      <c r="G44" s="94"/>
      <c r="H44" s="103"/>
      <c r="I44" s="94" t="s">
        <v>59</v>
      </c>
      <c r="J44" s="94" t="s">
        <v>60</v>
      </c>
      <c r="K44" s="94"/>
      <c r="L44" s="96"/>
      <c r="M44" s="94"/>
      <c r="N44" s="97"/>
    </row>
  </sheetData>
  <mergeCells count="2">
    <mergeCell ref="F3:M3"/>
    <mergeCell ref="B2:M2"/>
  </mergeCells>
  <conditionalFormatting sqref="K7:L22">
    <cfRule type="cellIs" dxfId="510" priority="43" operator="equal">
      <formula>"Cancelled"</formula>
    </cfRule>
    <cfRule type="cellIs" dxfId="509" priority="44" operator="equal">
      <formula>"N/A"</formula>
    </cfRule>
    <cfRule type="cellIs" dxfId="508" priority="45" operator="equal">
      <formula>"Pass"</formula>
    </cfRule>
    <cfRule type="cellIs" dxfId="507" priority="46" operator="equal">
      <formula>"In-Progress"</formula>
    </cfRule>
    <cfRule type="cellIs" dxfId="506" priority="47" operator="equal">
      <formula>"Blocked"</formula>
    </cfRule>
    <cfRule type="cellIs" dxfId="505" priority="48" operator="equal">
      <formula>"Fail"</formula>
    </cfRule>
    <cfRule type="cellIs" dxfId="504" priority="49" operator="equal">
      <formula>"Pass"</formula>
    </cfRule>
  </conditionalFormatting>
  <conditionalFormatting sqref="K24:L29">
    <cfRule type="cellIs" dxfId="503" priority="36" operator="equal">
      <formula>"Cancelled"</formula>
    </cfRule>
    <cfRule type="cellIs" dxfId="502" priority="37" operator="equal">
      <formula>"N/A"</formula>
    </cfRule>
    <cfRule type="cellIs" dxfId="501" priority="38" operator="equal">
      <formula>"Pass"</formula>
    </cfRule>
    <cfRule type="cellIs" dxfId="500" priority="39" operator="equal">
      <formula>"In-Progress"</formula>
    </cfRule>
    <cfRule type="cellIs" dxfId="499" priority="40" operator="equal">
      <formula>"Blocked"</formula>
    </cfRule>
    <cfRule type="cellIs" dxfId="498" priority="41" operator="equal">
      <formula>"Fail"</formula>
    </cfRule>
    <cfRule type="cellIs" dxfId="497" priority="42" operator="equal">
      <formula>"Pass"</formula>
    </cfRule>
  </conditionalFormatting>
  <conditionalFormatting sqref="K34:L43">
    <cfRule type="cellIs" dxfId="496" priority="8" operator="equal">
      <formula>"Cancelled"</formula>
    </cfRule>
    <cfRule type="cellIs" dxfId="495" priority="9" operator="equal">
      <formula>"N/A"</formula>
    </cfRule>
    <cfRule type="cellIs" dxfId="494" priority="10" operator="equal">
      <formula>"Pass"</formula>
    </cfRule>
    <cfRule type="cellIs" dxfId="493" priority="11" operator="equal">
      <formula>"In-Progress"</formula>
    </cfRule>
    <cfRule type="cellIs" dxfId="492" priority="12" operator="equal">
      <formula>"Blocked"</formula>
    </cfRule>
    <cfRule type="cellIs" dxfId="491" priority="13" operator="equal">
      <formula>"Fail"</formula>
    </cfRule>
    <cfRule type="cellIs" dxfId="490" priority="14" operator="equal">
      <formula>"Pass"</formula>
    </cfRule>
  </conditionalFormatting>
  <conditionalFormatting sqref="L5:L6">
    <cfRule type="cellIs" dxfId="489" priority="50" operator="equal">
      <formula>"Cancelled"</formula>
    </cfRule>
    <cfRule type="cellIs" dxfId="488" priority="51" operator="equal">
      <formula>"N/A"</formula>
    </cfRule>
    <cfRule type="cellIs" dxfId="487" priority="52" operator="equal">
      <formula>"Pass"</formula>
    </cfRule>
    <cfRule type="cellIs" dxfId="486" priority="53" operator="equal">
      <formula>"In-Progress"</formula>
    </cfRule>
    <cfRule type="cellIs" dxfId="485" priority="54" operator="equal">
      <formula>"Blocked"</formula>
    </cfRule>
    <cfRule type="cellIs" dxfId="484" priority="55" operator="equal">
      <formula>"Fail"</formula>
    </cfRule>
    <cfRule type="cellIs" dxfId="483" priority="56" operator="equal">
      <formula>"Pass"</formula>
    </cfRule>
  </conditionalFormatting>
  <conditionalFormatting sqref="L23">
    <cfRule type="cellIs" dxfId="482" priority="85" operator="equal">
      <formula>"Cancelled"</formula>
    </cfRule>
    <cfRule type="cellIs" dxfId="481" priority="86" operator="equal">
      <formula>"N/A"</formula>
    </cfRule>
    <cfRule type="cellIs" dxfId="480" priority="87" operator="equal">
      <formula>"Pass"</formula>
    </cfRule>
    <cfRule type="cellIs" dxfId="479" priority="88" operator="equal">
      <formula>"In-Progress"</formula>
    </cfRule>
    <cfRule type="cellIs" dxfId="478" priority="89" operator="equal">
      <formula>"Blocked"</formula>
    </cfRule>
    <cfRule type="cellIs" dxfId="477" priority="90" operator="equal">
      <formula>"Fail"</formula>
    </cfRule>
    <cfRule type="cellIs" dxfId="476" priority="91" operator="equal">
      <formula>"Pass"</formula>
    </cfRule>
  </conditionalFormatting>
  <conditionalFormatting sqref="L30:L33">
    <cfRule type="cellIs" dxfId="475" priority="15" operator="equal">
      <formula>"Cancelled"</formula>
    </cfRule>
    <cfRule type="cellIs" dxfId="474" priority="16" operator="equal">
      <formula>"N/A"</formula>
    </cfRule>
    <cfRule type="cellIs" dxfId="473" priority="17" operator="equal">
      <formula>"Pass"</formula>
    </cfRule>
    <cfRule type="cellIs" dxfId="472" priority="18" operator="equal">
      <formula>"In-Progress"</formula>
    </cfRule>
    <cfRule type="cellIs" dxfId="471" priority="19" operator="equal">
      <formula>"Blocked"</formula>
    </cfRule>
    <cfRule type="cellIs" dxfId="470" priority="20" operator="equal">
      <formula>"Fail"</formula>
    </cfRule>
    <cfRule type="cellIs" dxfId="469" priority="21" operator="equal">
      <formula>"Pass"</formula>
    </cfRule>
  </conditionalFormatting>
  <conditionalFormatting sqref="L44">
    <cfRule type="cellIs" dxfId="468" priority="1" operator="equal">
      <formula>"Cancelled"</formula>
    </cfRule>
    <cfRule type="cellIs" dxfId="467" priority="2" operator="equal">
      <formula>"N/A"</formula>
    </cfRule>
    <cfRule type="cellIs" dxfId="466" priority="3" operator="equal">
      <formula>"Pass"</formula>
    </cfRule>
    <cfRule type="cellIs" dxfId="465" priority="4" operator="equal">
      <formula>"In-Progress"</formula>
    </cfRule>
    <cfRule type="cellIs" dxfId="464" priority="5" operator="equal">
      <formula>"Blocked"</formula>
    </cfRule>
    <cfRule type="cellIs" dxfId="463" priority="6" operator="equal">
      <formula>"Fail"</formula>
    </cfRule>
    <cfRule type="cellIs" dxfId="462" priority="7" operator="equal">
      <formula>"Pass"</formula>
    </cfRule>
  </conditionalFormatting>
  <dataValidations count="1">
    <dataValidation type="list" allowBlank="1" showInputMessage="1" showErrorMessage="1" sqref="L5:L44" xr:uid="{00000000-0002-0000-01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N21"/>
  <sheetViews>
    <sheetView topLeftCell="A5" zoomScale="70" zoomScaleNormal="70" workbookViewId="0">
      <selection activeCell="F6" sqref="F6"/>
    </sheetView>
  </sheetViews>
  <sheetFormatPr defaultColWidth="8.7265625" defaultRowHeight="15.5" x14ac:dyDescent="0.45"/>
  <cols>
    <col min="2" max="2" width="10.26953125" style="2" customWidth="1"/>
    <col min="3" max="3" width="15.1796875" style="8" customWidth="1"/>
    <col min="4" max="4" width="14.54296875" style="2" customWidth="1"/>
    <col min="5" max="5" width="11.26953125" style="36" customWidth="1"/>
    <col min="6" max="6" width="60.1796875" style="2" customWidth="1"/>
    <col min="7" max="7" width="48.81640625" style="2" customWidth="1"/>
    <col min="8" max="8" width="78.26953125" style="2" customWidth="1"/>
    <col min="9" max="9" width="57" style="1" customWidth="1"/>
    <col min="10" max="10" width="45" style="1" customWidth="1"/>
    <col min="11" max="11" width="13.1796875" style="1" customWidth="1"/>
    <col min="12" max="12" width="19.453125" style="2" customWidth="1"/>
    <col min="13" max="13" width="18.81640625" style="2" customWidth="1"/>
    <col min="14" max="14" width="16.1796875" customWidth="1"/>
  </cols>
  <sheetData>
    <row r="1" spans="1:14" ht="16.5" customHeight="1" thickBot="1" x14ac:dyDescent="0.5"/>
    <row r="2" spans="1:14" ht="29.25" customHeight="1" thickBot="1" x14ac:dyDescent="0.4">
      <c r="B2" s="226" t="s">
        <v>225</v>
      </c>
      <c r="C2" s="227"/>
      <c r="D2" s="227"/>
      <c r="E2" s="227"/>
      <c r="F2" s="227"/>
      <c r="G2" s="227"/>
      <c r="H2" s="227"/>
      <c r="I2" s="227"/>
      <c r="J2" s="227"/>
      <c r="K2" s="227"/>
      <c r="L2" s="227"/>
      <c r="M2" s="228"/>
    </row>
    <row r="3" spans="1:14" ht="16.5" customHeight="1" thickBot="1" x14ac:dyDescent="0.4">
      <c r="B3" s="229" t="s">
        <v>70</v>
      </c>
      <c r="C3" s="224"/>
      <c r="D3" s="68"/>
      <c r="E3" s="69"/>
      <c r="F3" s="223" t="s">
        <v>226</v>
      </c>
      <c r="G3" s="224"/>
      <c r="H3" s="224"/>
      <c r="I3" s="224"/>
      <c r="J3" s="224"/>
      <c r="K3" s="224"/>
      <c r="L3" s="224"/>
      <c r="M3" s="225"/>
    </row>
    <row r="4" spans="1:14" ht="32.25" customHeight="1" thickBot="1" x14ac:dyDescent="0.4">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1:14" ht="345" customHeight="1" x14ac:dyDescent="0.45">
      <c r="B5" s="146">
        <v>1</v>
      </c>
      <c r="C5" s="147" t="s">
        <v>16</v>
      </c>
      <c r="D5" s="147" t="s">
        <v>17</v>
      </c>
      <c r="E5" s="148">
        <f>(10+10+5)/3</f>
        <v>8.3333333333333339</v>
      </c>
      <c r="F5" s="120" t="s">
        <v>227</v>
      </c>
      <c r="G5" s="149" t="s">
        <v>228</v>
      </c>
      <c r="H5" s="111"/>
      <c r="I5" s="150" t="s">
        <v>229</v>
      </c>
      <c r="J5" s="151" t="s">
        <v>230</v>
      </c>
      <c r="K5" s="119"/>
      <c r="L5" s="152"/>
      <c r="M5" s="153"/>
      <c r="N5" s="154"/>
    </row>
    <row r="6" spans="1:14" ht="390" customHeight="1" x14ac:dyDescent="0.45">
      <c r="B6" s="82">
        <v>2</v>
      </c>
      <c r="C6" s="83" t="s">
        <v>16</v>
      </c>
      <c r="D6" s="83" t="s">
        <v>17</v>
      </c>
      <c r="E6" s="84">
        <f>(10+10+5)/3</f>
        <v>8.3333333333333339</v>
      </c>
      <c r="F6" s="79" t="s">
        <v>231</v>
      </c>
      <c r="G6" s="111" t="s">
        <v>228</v>
      </c>
      <c r="H6" s="111"/>
      <c r="I6" s="128" t="s">
        <v>232</v>
      </c>
      <c r="J6" s="130" t="s">
        <v>233</v>
      </c>
      <c r="K6" s="79"/>
      <c r="L6" s="86"/>
      <c r="M6" s="87"/>
      <c r="N6" s="90"/>
    </row>
    <row r="7" spans="1:14" ht="300" customHeight="1" x14ac:dyDescent="0.45">
      <c r="B7" s="82">
        <v>3</v>
      </c>
      <c r="C7" s="83" t="s">
        <v>16</v>
      </c>
      <c r="D7" s="83" t="s">
        <v>17</v>
      </c>
      <c r="E7" s="84">
        <f>(5+5+5)/3</f>
        <v>5</v>
      </c>
      <c r="F7" s="79" t="s">
        <v>234</v>
      </c>
      <c r="G7" s="111" t="s">
        <v>235</v>
      </c>
      <c r="H7" s="111"/>
      <c r="I7" s="128" t="s">
        <v>236</v>
      </c>
      <c r="J7" s="130" t="s">
        <v>237</v>
      </c>
      <c r="K7" s="79"/>
      <c r="L7" s="86"/>
      <c r="M7" s="87"/>
      <c r="N7" s="88"/>
    </row>
    <row r="8" spans="1:14" ht="195" customHeight="1" x14ac:dyDescent="0.45">
      <c r="B8" s="82">
        <v>4</v>
      </c>
      <c r="C8" s="83" t="s">
        <v>16</v>
      </c>
      <c r="D8" s="83" t="s">
        <v>26</v>
      </c>
      <c r="E8" s="84">
        <f>(3+3+2)/3</f>
        <v>2.6666666666666665</v>
      </c>
      <c r="F8" s="79" t="s">
        <v>238</v>
      </c>
      <c r="G8" s="111" t="s">
        <v>235</v>
      </c>
      <c r="H8" s="111" t="s">
        <v>239</v>
      </c>
      <c r="I8" s="128" t="s">
        <v>240</v>
      </c>
      <c r="J8" s="130" t="s">
        <v>241</v>
      </c>
      <c r="K8" s="79"/>
      <c r="L8" s="86"/>
      <c r="M8" s="87"/>
      <c r="N8" s="88"/>
    </row>
    <row r="9" spans="1:14" ht="165" customHeight="1" x14ac:dyDescent="0.45">
      <c r="B9" s="82">
        <v>5</v>
      </c>
      <c r="C9" s="83" t="s">
        <v>16</v>
      </c>
      <c r="D9" s="83" t="s">
        <v>26</v>
      </c>
      <c r="E9" s="84">
        <f>(3+2+2)/3</f>
        <v>2.3333333333333335</v>
      </c>
      <c r="F9" s="79" t="s">
        <v>242</v>
      </c>
      <c r="G9" s="111" t="s">
        <v>235</v>
      </c>
      <c r="H9" s="111"/>
      <c r="I9" s="128" t="s">
        <v>243</v>
      </c>
      <c r="J9" s="130" t="s">
        <v>244</v>
      </c>
      <c r="K9" s="79"/>
      <c r="L9" s="86"/>
      <c r="M9" s="87"/>
      <c r="N9" s="88"/>
    </row>
    <row r="10" spans="1:14" ht="173.25" customHeight="1" x14ac:dyDescent="0.45">
      <c r="B10" s="82">
        <v>6</v>
      </c>
      <c r="C10" s="83" t="s">
        <v>16</v>
      </c>
      <c r="D10" s="83" t="s">
        <v>17</v>
      </c>
      <c r="E10" s="84">
        <f>(3+2+3)/3</f>
        <v>2.6666666666666665</v>
      </c>
      <c r="F10" s="79" t="s">
        <v>245</v>
      </c>
      <c r="G10" s="111" t="s">
        <v>246</v>
      </c>
      <c r="H10" s="111"/>
      <c r="I10" s="128" t="s">
        <v>247</v>
      </c>
      <c r="J10" s="130" t="s">
        <v>248</v>
      </c>
      <c r="K10" s="79"/>
      <c r="L10" s="86"/>
      <c r="M10" s="87"/>
      <c r="N10" s="88"/>
    </row>
    <row r="11" spans="1:14" ht="169.5" customHeight="1" x14ac:dyDescent="0.45">
      <c r="B11" s="82">
        <v>7</v>
      </c>
      <c r="C11" s="83" t="s">
        <v>16</v>
      </c>
      <c r="D11" s="83" t="s">
        <v>103</v>
      </c>
      <c r="E11" s="84">
        <f>(3+2+2)/3</f>
        <v>2.3333333333333335</v>
      </c>
      <c r="F11" s="79" t="s">
        <v>249</v>
      </c>
      <c r="G11" s="111" t="s">
        <v>246</v>
      </c>
      <c r="H11" s="111"/>
      <c r="I11" s="128" t="s">
        <v>250</v>
      </c>
      <c r="J11" s="130" t="s">
        <v>251</v>
      </c>
      <c r="K11" s="79"/>
      <c r="L11" s="86"/>
      <c r="M11" s="87"/>
      <c r="N11" s="88"/>
    </row>
    <row r="12" spans="1:14" ht="188.5" customHeight="1" x14ac:dyDescent="0.45">
      <c r="B12" s="82">
        <v>8</v>
      </c>
      <c r="C12" s="83" t="s">
        <v>16</v>
      </c>
      <c r="D12" s="83" t="s">
        <v>103</v>
      </c>
      <c r="E12" s="84">
        <f>(3+2+2)/3</f>
        <v>2.3333333333333335</v>
      </c>
      <c r="F12" s="79" t="s">
        <v>252</v>
      </c>
      <c r="G12" s="111" t="s">
        <v>246</v>
      </c>
      <c r="H12" s="111"/>
      <c r="I12" s="128" t="s">
        <v>253</v>
      </c>
      <c r="J12" s="130" t="s">
        <v>254</v>
      </c>
      <c r="K12" s="79"/>
      <c r="L12" s="86"/>
      <c r="M12" s="87"/>
      <c r="N12" s="88"/>
    </row>
    <row r="13" spans="1:14" ht="171.75" customHeight="1" x14ac:dyDescent="0.45">
      <c r="B13" s="82">
        <v>9</v>
      </c>
      <c r="C13" s="83" t="s">
        <v>16</v>
      </c>
      <c r="D13" s="83" t="s">
        <v>17</v>
      </c>
      <c r="E13" s="84">
        <f>(3+2+3)/3</f>
        <v>2.6666666666666665</v>
      </c>
      <c r="F13" s="79" t="s">
        <v>255</v>
      </c>
      <c r="G13" s="111" t="s">
        <v>246</v>
      </c>
      <c r="H13" s="111"/>
      <c r="I13" s="128" t="s">
        <v>256</v>
      </c>
      <c r="J13" s="130" t="s">
        <v>257</v>
      </c>
      <c r="K13" s="79"/>
      <c r="L13" s="86"/>
      <c r="M13" s="87"/>
      <c r="N13" s="88"/>
    </row>
    <row r="14" spans="1:14" ht="360" customHeight="1" x14ac:dyDescent="0.45">
      <c r="A14" s="2"/>
      <c r="B14" s="82">
        <v>10</v>
      </c>
      <c r="C14" s="83" t="s">
        <v>16</v>
      </c>
      <c r="D14" s="83" t="s">
        <v>103</v>
      </c>
      <c r="E14" s="84">
        <f>(3+2+3)/3</f>
        <v>2.6666666666666665</v>
      </c>
      <c r="F14" s="79" t="s">
        <v>1639</v>
      </c>
      <c r="G14" s="111" t="s">
        <v>258</v>
      </c>
      <c r="H14" s="111"/>
      <c r="I14" s="128" t="s">
        <v>259</v>
      </c>
      <c r="J14" s="130" t="s">
        <v>260</v>
      </c>
      <c r="K14" s="79"/>
      <c r="L14" s="86"/>
      <c r="M14" s="87"/>
      <c r="N14" s="88"/>
    </row>
    <row r="15" spans="1:14" ht="405" customHeight="1" x14ac:dyDescent="0.45">
      <c r="B15" s="82">
        <v>11</v>
      </c>
      <c r="C15" s="83" t="s">
        <v>16</v>
      </c>
      <c r="D15" s="83" t="s">
        <v>17</v>
      </c>
      <c r="E15" s="84">
        <f>(3+2+3)/3</f>
        <v>2.6666666666666665</v>
      </c>
      <c r="F15" s="79" t="s">
        <v>261</v>
      </c>
      <c r="G15" s="111" t="s">
        <v>246</v>
      </c>
      <c r="H15" s="111"/>
      <c r="I15" s="128" t="s">
        <v>262</v>
      </c>
      <c r="J15" s="130" t="s">
        <v>263</v>
      </c>
      <c r="K15" s="79"/>
      <c r="L15" s="86"/>
      <c r="M15" s="87"/>
      <c r="N15" s="88"/>
    </row>
    <row r="16" spans="1:14" ht="195" customHeight="1" x14ac:dyDescent="0.45">
      <c r="B16" s="82">
        <v>12</v>
      </c>
      <c r="C16" s="83" t="s">
        <v>16</v>
      </c>
      <c r="D16" s="83" t="s">
        <v>26</v>
      </c>
      <c r="E16" s="84">
        <f>(2+2+2)/3</f>
        <v>2</v>
      </c>
      <c r="F16" s="79" t="s">
        <v>264</v>
      </c>
      <c r="G16" s="111" t="s">
        <v>235</v>
      </c>
      <c r="H16" s="111"/>
      <c r="I16" s="128" t="s">
        <v>265</v>
      </c>
      <c r="J16" s="130" t="s">
        <v>266</v>
      </c>
      <c r="K16" s="79"/>
      <c r="L16" s="86"/>
      <c r="M16" s="87"/>
      <c r="N16" s="88"/>
    </row>
    <row r="17" spans="2:14" ht="172.5" customHeight="1" x14ac:dyDescent="0.45">
      <c r="B17" s="50">
        <v>13</v>
      </c>
      <c r="C17" s="83" t="s">
        <v>16</v>
      </c>
      <c r="D17" s="51" t="s">
        <v>17</v>
      </c>
      <c r="E17" s="52">
        <f>(2+2+2)/3</f>
        <v>2</v>
      </c>
      <c r="F17" s="79" t="s">
        <v>267</v>
      </c>
      <c r="G17" s="67" t="s">
        <v>235</v>
      </c>
      <c r="H17" s="111"/>
      <c r="I17" s="129" t="s">
        <v>268</v>
      </c>
      <c r="J17" s="131" t="s">
        <v>269</v>
      </c>
      <c r="K17" s="53"/>
      <c r="L17" s="54"/>
      <c r="M17" s="107"/>
      <c r="N17" s="108"/>
    </row>
    <row r="18" spans="2:14" ht="195" customHeight="1" thickBot="1" x14ac:dyDescent="0.4">
      <c r="B18" s="59">
        <v>14</v>
      </c>
      <c r="C18" s="60" t="s">
        <v>16</v>
      </c>
      <c r="D18" s="60" t="s">
        <v>26</v>
      </c>
      <c r="E18" s="61">
        <f>(10+10+10)/3</f>
        <v>10</v>
      </c>
      <c r="F18" s="62" t="s">
        <v>57</v>
      </c>
      <c r="G18" s="73"/>
      <c r="H18" s="73"/>
      <c r="I18" s="73" t="s">
        <v>59</v>
      </c>
      <c r="J18" s="132" t="s">
        <v>60</v>
      </c>
      <c r="K18" s="62"/>
      <c r="L18" s="63"/>
      <c r="M18" s="62"/>
      <c r="N18" s="64"/>
    </row>
    <row r="19" spans="2:14" ht="165" customHeight="1" x14ac:dyDescent="0.45"/>
    <row r="20" spans="2:14" ht="210" customHeight="1" x14ac:dyDescent="0.45"/>
    <row r="21" spans="2:14" ht="32.25" customHeight="1" x14ac:dyDescent="0.45"/>
  </sheetData>
  <mergeCells count="3">
    <mergeCell ref="F3:M3"/>
    <mergeCell ref="B2:M2"/>
    <mergeCell ref="B3:C3"/>
  </mergeCells>
  <conditionalFormatting sqref="K5:K17">
    <cfRule type="cellIs" dxfId="461" priority="8" operator="equal">
      <formula>"Not Tested"</formula>
    </cfRule>
    <cfRule type="cellIs" dxfId="460" priority="9" operator="equal">
      <formula>"Not Applicable"</formula>
    </cfRule>
    <cfRule type="cellIs" dxfId="459" priority="10" operator="equal">
      <formula>"Pass"</formula>
    </cfRule>
    <cfRule type="cellIs" dxfId="458" priority="11" operator="equal">
      <formula>"Not Tested"</formula>
    </cfRule>
    <cfRule type="cellIs" dxfId="457" priority="12" operator="equal">
      <formula>"Not Applicable"</formula>
    </cfRule>
    <cfRule type="cellIs" dxfId="456" priority="13" operator="equal">
      <formula>"Fail"</formula>
    </cfRule>
    <cfRule type="cellIs" dxfId="455" priority="14" operator="equal">
      <formula>"Pass"</formula>
    </cfRule>
  </conditionalFormatting>
  <conditionalFormatting sqref="L5:L18">
    <cfRule type="cellIs" dxfId="454" priority="1" operator="equal">
      <formula>"Cancelled"</formula>
    </cfRule>
    <cfRule type="cellIs" dxfId="453" priority="2" operator="equal">
      <formula>"N/A"</formula>
    </cfRule>
    <cfRule type="cellIs" dxfId="452" priority="3" operator="equal">
      <formula>"Pass"</formula>
    </cfRule>
    <cfRule type="cellIs" dxfId="451" priority="4" operator="equal">
      <formula>"In-Progress"</formula>
    </cfRule>
    <cfRule type="cellIs" dxfId="450" priority="5" operator="equal">
      <formula>"Blocked"</formula>
    </cfRule>
    <cfRule type="cellIs" dxfId="449" priority="6" operator="equal">
      <formula>"Fail"</formula>
    </cfRule>
    <cfRule type="cellIs" dxfId="448" priority="7" operator="equal">
      <formula>"Pass"</formula>
    </cfRule>
  </conditionalFormatting>
  <dataValidations count="1">
    <dataValidation type="list" allowBlank="1" showInputMessage="1" showErrorMessage="1" sqref="L5:L18" xr:uid="{00000000-0002-0000-02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N13"/>
  <sheetViews>
    <sheetView topLeftCell="A11" zoomScale="60" zoomScaleNormal="60" workbookViewId="0">
      <selection activeCell="H5" sqref="H5"/>
    </sheetView>
  </sheetViews>
  <sheetFormatPr defaultColWidth="8.7265625" defaultRowHeight="15.5" x14ac:dyDescent="0.45"/>
  <cols>
    <col min="1" max="1" width="8.7265625" style="46" customWidth="1"/>
    <col min="2" max="2" width="10.26953125" style="43" customWidth="1"/>
    <col min="3" max="3" width="19" style="80" customWidth="1"/>
    <col min="4" max="4" width="18.54296875" style="43" customWidth="1"/>
    <col min="5" max="5" width="11.26953125" style="81" customWidth="1"/>
    <col min="6" max="6" width="60.1796875" style="43" customWidth="1"/>
    <col min="7" max="7" width="48.81640625" style="43" customWidth="1"/>
    <col min="8" max="8" width="85.54296875" style="43" customWidth="1"/>
    <col min="9" max="9" width="63" style="44" customWidth="1"/>
    <col min="10" max="10" width="38.1796875" style="44" customWidth="1"/>
    <col min="11" max="11" width="13.1796875" style="44" customWidth="1"/>
    <col min="12" max="12" width="19.453125" style="43" customWidth="1"/>
    <col min="13" max="13" width="18.81640625" style="43" customWidth="1"/>
    <col min="14" max="14" width="15.54296875" style="46" customWidth="1"/>
    <col min="15" max="61" width="8.7265625" style="46" customWidth="1"/>
    <col min="62" max="16384" width="8.7265625" style="46"/>
  </cols>
  <sheetData>
    <row r="1" spans="1:14" ht="16.5" customHeight="1" thickBot="1" x14ac:dyDescent="0.5"/>
    <row r="2" spans="1:14" ht="29.25" customHeight="1" thickBot="1" x14ac:dyDescent="0.4">
      <c r="B2" s="226" t="s">
        <v>270</v>
      </c>
      <c r="C2" s="227"/>
      <c r="D2" s="227"/>
      <c r="E2" s="227"/>
      <c r="F2" s="227"/>
      <c r="G2" s="227"/>
      <c r="H2" s="227"/>
      <c r="I2" s="227"/>
      <c r="J2" s="227"/>
      <c r="K2" s="227"/>
      <c r="L2" s="227"/>
      <c r="M2" s="228"/>
    </row>
    <row r="3" spans="1:14" ht="16.5" customHeight="1" thickBot="1" x14ac:dyDescent="0.4">
      <c r="B3" s="229" t="s">
        <v>70</v>
      </c>
      <c r="C3" s="224"/>
      <c r="D3" s="68"/>
      <c r="E3" s="69"/>
      <c r="F3" s="223" t="s">
        <v>271</v>
      </c>
      <c r="G3" s="224"/>
      <c r="H3" s="224"/>
      <c r="I3" s="224"/>
      <c r="J3" s="224"/>
      <c r="K3" s="224"/>
      <c r="L3" s="224"/>
      <c r="M3" s="225"/>
    </row>
    <row r="4" spans="1:14" ht="48" customHeight="1" x14ac:dyDescent="0.35">
      <c r="A4"/>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1:14" s="89" customFormat="1" ht="157.5" customHeight="1" thickBot="1" x14ac:dyDescent="0.5">
      <c r="B5" s="82">
        <v>1</v>
      </c>
      <c r="C5" s="83" t="s">
        <v>16</v>
      </c>
      <c r="D5" s="83" t="s">
        <v>17</v>
      </c>
      <c r="E5" s="84">
        <v>3</v>
      </c>
      <c r="F5" s="79" t="s">
        <v>272</v>
      </c>
      <c r="G5" s="85" t="s">
        <v>68</v>
      </c>
      <c r="H5" s="85"/>
      <c r="I5" s="111" t="s">
        <v>273</v>
      </c>
      <c r="J5" s="76" t="s">
        <v>274</v>
      </c>
      <c r="K5" s="79"/>
      <c r="L5" s="86"/>
      <c r="M5" s="87"/>
      <c r="N5" s="88"/>
    </row>
    <row r="6" spans="1:14" s="89" customFormat="1" ht="409.5" customHeight="1" x14ac:dyDescent="0.45">
      <c r="B6" s="146">
        <v>2</v>
      </c>
      <c r="C6" s="147" t="s">
        <v>16</v>
      </c>
      <c r="D6" s="147" t="s">
        <v>17</v>
      </c>
      <c r="E6" s="148">
        <v>5</v>
      </c>
      <c r="F6" s="119" t="s">
        <v>275</v>
      </c>
      <c r="G6" s="119" t="s">
        <v>228</v>
      </c>
      <c r="H6" s="85"/>
      <c r="I6" s="149" t="s">
        <v>276</v>
      </c>
      <c r="J6" s="189" t="s">
        <v>277</v>
      </c>
      <c r="K6" s="119"/>
      <c r="L6" s="152"/>
      <c r="M6" s="153"/>
      <c r="N6" s="154"/>
    </row>
    <row r="7" spans="1:14" s="89" customFormat="1" ht="78.75" customHeight="1" x14ac:dyDescent="0.45">
      <c r="B7" s="82">
        <v>3</v>
      </c>
      <c r="C7" s="83" t="s">
        <v>16</v>
      </c>
      <c r="D7" s="83" t="s">
        <v>17</v>
      </c>
      <c r="E7" s="84">
        <v>3</v>
      </c>
      <c r="F7" s="79" t="s">
        <v>278</v>
      </c>
      <c r="G7" s="85" t="s">
        <v>68</v>
      </c>
      <c r="H7" s="85"/>
      <c r="I7" s="111" t="s">
        <v>279</v>
      </c>
      <c r="J7" s="76" t="s">
        <v>280</v>
      </c>
      <c r="K7" s="79"/>
      <c r="L7" s="86"/>
      <c r="M7" s="87"/>
      <c r="N7" s="88"/>
    </row>
    <row r="8" spans="1:14" s="89" customFormat="1" ht="144" customHeight="1" x14ac:dyDescent="0.45">
      <c r="B8" s="82">
        <v>4</v>
      </c>
      <c r="C8" s="83" t="s">
        <v>16</v>
      </c>
      <c r="D8" s="83" t="s">
        <v>17</v>
      </c>
      <c r="E8" s="84">
        <v>2</v>
      </c>
      <c r="F8" s="79" t="s">
        <v>281</v>
      </c>
      <c r="G8" s="79" t="s">
        <v>282</v>
      </c>
      <c r="H8" s="85"/>
      <c r="I8" s="111" t="s">
        <v>283</v>
      </c>
      <c r="J8" s="76" t="s">
        <v>284</v>
      </c>
      <c r="K8" s="79"/>
      <c r="L8" s="86"/>
      <c r="M8" s="87"/>
      <c r="N8" s="88"/>
    </row>
    <row r="9" spans="1:14" s="89" customFormat="1" ht="290.25" customHeight="1" x14ac:dyDescent="0.45">
      <c r="B9" s="82">
        <v>5</v>
      </c>
      <c r="C9" s="83" t="s">
        <v>16</v>
      </c>
      <c r="D9" s="83" t="s">
        <v>103</v>
      </c>
      <c r="E9" s="84">
        <v>5</v>
      </c>
      <c r="F9" s="79" t="s">
        <v>285</v>
      </c>
      <c r="G9" s="79" t="s">
        <v>286</v>
      </c>
      <c r="H9" s="85"/>
      <c r="I9" s="111" t="s">
        <v>287</v>
      </c>
      <c r="J9" s="76" t="s">
        <v>288</v>
      </c>
      <c r="K9" s="79"/>
      <c r="L9" s="86"/>
      <c r="M9" s="87"/>
      <c r="N9" s="88"/>
    </row>
    <row r="10" spans="1:14" s="89" customFormat="1" ht="103.5" customHeight="1" x14ac:dyDescent="0.45">
      <c r="B10" s="82">
        <v>6</v>
      </c>
      <c r="C10" s="83" t="s">
        <v>16</v>
      </c>
      <c r="D10" s="83" t="s">
        <v>17</v>
      </c>
      <c r="E10" s="84">
        <v>3</v>
      </c>
      <c r="F10" s="79" t="s">
        <v>289</v>
      </c>
      <c r="G10" s="79" t="s">
        <v>68</v>
      </c>
      <c r="H10" s="85"/>
      <c r="I10" s="111" t="s">
        <v>290</v>
      </c>
      <c r="J10" s="76" t="s">
        <v>291</v>
      </c>
      <c r="K10" s="79"/>
      <c r="L10" s="86"/>
      <c r="M10" s="87"/>
      <c r="N10" s="88"/>
    </row>
    <row r="11" spans="1:14" s="89" customFormat="1" ht="409.6" customHeight="1" x14ac:dyDescent="0.45">
      <c r="B11" s="82">
        <v>7</v>
      </c>
      <c r="C11" s="83" t="s">
        <v>16</v>
      </c>
      <c r="D11" s="83" t="s">
        <v>103</v>
      </c>
      <c r="E11" s="84">
        <v>6</v>
      </c>
      <c r="F11" s="79" t="s">
        <v>292</v>
      </c>
      <c r="G11" s="79" t="s">
        <v>286</v>
      </c>
      <c r="H11" s="85"/>
      <c r="I11" s="111" t="s">
        <v>293</v>
      </c>
      <c r="J11" s="76" t="s">
        <v>294</v>
      </c>
      <c r="K11" s="79"/>
      <c r="L11" s="86"/>
      <c r="M11" s="87"/>
      <c r="N11" s="88"/>
    </row>
    <row r="12" spans="1:14" s="89" customFormat="1" ht="66" customHeight="1" thickBot="1" x14ac:dyDescent="0.4">
      <c r="B12" s="109">
        <v>8</v>
      </c>
      <c r="C12" s="92" t="s">
        <v>16</v>
      </c>
      <c r="D12" s="92" t="s">
        <v>26</v>
      </c>
      <c r="E12" s="93">
        <v>10</v>
      </c>
      <c r="F12" s="94" t="s">
        <v>57</v>
      </c>
      <c r="G12" s="94" t="s">
        <v>68</v>
      </c>
      <c r="H12" s="85"/>
      <c r="I12" s="94" t="s">
        <v>59</v>
      </c>
      <c r="J12" s="95" t="s">
        <v>60</v>
      </c>
      <c r="K12" s="94"/>
      <c r="L12" s="96"/>
      <c r="M12" s="94"/>
      <c r="N12" s="97"/>
    </row>
    <row r="13" spans="1:14" s="89" customFormat="1" ht="32.25" customHeight="1" x14ac:dyDescent="0.45">
      <c r="A13" s="91"/>
    </row>
  </sheetData>
  <mergeCells count="3">
    <mergeCell ref="F3:M3"/>
    <mergeCell ref="B2:M2"/>
    <mergeCell ref="B3:C3"/>
  </mergeCells>
  <conditionalFormatting sqref="K5">
    <cfRule type="cellIs" dxfId="447" priority="22" operator="equal">
      <formula>"Not Tested"</formula>
    </cfRule>
    <cfRule type="cellIs" dxfId="446" priority="23" operator="equal">
      <formula>"Not Applicable"</formula>
    </cfRule>
    <cfRule type="cellIs" dxfId="445" priority="25" operator="equal">
      <formula>"Not Tested"</formula>
    </cfRule>
    <cfRule type="cellIs" dxfId="444" priority="26" operator="equal">
      <formula>"Not Applicable"</formula>
    </cfRule>
  </conditionalFormatting>
  <conditionalFormatting sqref="K5:K9">
    <cfRule type="cellIs" dxfId="443" priority="43" operator="equal">
      <formula>"Not Tested"</formula>
    </cfRule>
    <cfRule type="cellIs" dxfId="442" priority="44" operator="equal">
      <formula>"Not Applicable"</formula>
    </cfRule>
    <cfRule type="cellIs" dxfId="441" priority="46" operator="equal">
      <formula>"Not Tested"</formula>
    </cfRule>
    <cfRule type="cellIs" dxfId="440" priority="47" operator="equal">
      <formula>"Not Applicable"</formula>
    </cfRule>
  </conditionalFormatting>
  <conditionalFormatting sqref="K5:K10">
    <cfRule type="cellIs" dxfId="439" priority="10" operator="equal">
      <formula>"Pass"</formula>
    </cfRule>
    <cfRule type="cellIs" dxfId="438" priority="13" operator="equal">
      <formula>"Fail"</formula>
    </cfRule>
    <cfRule type="cellIs" dxfId="437" priority="14" operator="equal">
      <formula>"Pass"</formula>
    </cfRule>
  </conditionalFormatting>
  <conditionalFormatting sqref="K10">
    <cfRule type="cellIs" dxfId="436" priority="8" operator="equal">
      <formula>"Not Tested"</formula>
    </cfRule>
    <cfRule type="cellIs" dxfId="435" priority="9" operator="equal">
      <formula>"Not Applicable"</formula>
    </cfRule>
    <cfRule type="cellIs" dxfId="434" priority="11" operator="equal">
      <formula>"Not Tested"</formula>
    </cfRule>
    <cfRule type="cellIs" dxfId="433" priority="12" operator="equal">
      <formula>"Not Applicable"</formula>
    </cfRule>
  </conditionalFormatting>
  <conditionalFormatting sqref="L5:L12">
    <cfRule type="cellIs" dxfId="432" priority="1" operator="equal">
      <formula>"Cancelled"</formula>
    </cfRule>
    <cfRule type="cellIs" dxfId="431" priority="2" operator="equal">
      <formula>"N/A"</formula>
    </cfRule>
    <cfRule type="cellIs" dxfId="430" priority="3" operator="equal">
      <formula>"Pass"</formula>
    </cfRule>
    <cfRule type="cellIs" dxfId="429" priority="4" operator="equal">
      <formula>"In-Progress"</formula>
    </cfRule>
    <cfRule type="cellIs" dxfId="428" priority="5" operator="equal">
      <formula>"Blocked"</formula>
    </cfRule>
    <cfRule type="cellIs" dxfId="427" priority="6" operator="equal">
      <formula>"Fail"</formula>
    </cfRule>
    <cfRule type="cellIs" dxfId="426" priority="7" operator="equal">
      <formula>"Pass"</formula>
    </cfRule>
  </conditionalFormatting>
  <dataValidations count="1">
    <dataValidation type="list" allowBlank="1" showInputMessage="1" showErrorMessage="1" sqref="L5:L12 L10" xr:uid="{00000000-0002-0000-03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N12"/>
  <sheetViews>
    <sheetView topLeftCell="A8" zoomScale="60" zoomScaleNormal="60" workbookViewId="0">
      <selection activeCell="H5" sqref="H5"/>
    </sheetView>
  </sheetViews>
  <sheetFormatPr defaultColWidth="8.7265625" defaultRowHeight="14.5" x14ac:dyDescent="0.35"/>
  <cols>
    <col min="2" max="2" width="10.26953125" style="12" customWidth="1"/>
    <col min="3" max="3" width="15.1796875" style="12" customWidth="1"/>
    <col min="4" max="4" width="15.453125" style="12" customWidth="1"/>
    <col min="5" max="5" width="11.26953125" style="39" customWidth="1"/>
    <col min="6" max="6" width="52.7265625" customWidth="1"/>
    <col min="7" max="7" width="51.1796875" customWidth="1"/>
    <col min="8" max="8" width="55.81640625" customWidth="1"/>
    <col min="9" max="9" width="58.1796875" style="12" customWidth="1"/>
    <col min="10" max="10" width="45.1796875" style="12" customWidth="1"/>
    <col min="11" max="11" width="13.1796875" style="12" customWidth="1"/>
    <col min="12" max="12" width="19.453125" customWidth="1"/>
    <col min="13" max="13" width="18.81640625" customWidth="1"/>
    <col min="14" max="14" width="17.81640625" customWidth="1"/>
  </cols>
  <sheetData>
    <row r="1" spans="1:14" ht="16.5" customHeight="1" thickBot="1" x14ac:dyDescent="0.5">
      <c r="A1" s="2"/>
      <c r="B1" s="1"/>
      <c r="C1" s="1"/>
      <c r="D1" s="1"/>
      <c r="E1" s="38"/>
      <c r="F1" s="2"/>
      <c r="G1" s="2"/>
      <c r="H1" s="2"/>
      <c r="I1" s="1"/>
      <c r="J1" s="1"/>
      <c r="K1" s="1"/>
      <c r="L1" s="2"/>
      <c r="M1" s="2"/>
    </row>
    <row r="2" spans="1:14" ht="29.25" customHeight="1" thickBot="1" x14ac:dyDescent="0.5">
      <c r="A2" s="2"/>
      <c r="B2" s="231" t="s">
        <v>295</v>
      </c>
      <c r="C2" s="227"/>
      <c r="D2" s="227"/>
      <c r="E2" s="227"/>
      <c r="F2" s="227"/>
      <c r="G2" s="227"/>
      <c r="H2" s="227"/>
      <c r="I2" s="227"/>
      <c r="J2" s="227"/>
      <c r="K2" s="227"/>
      <c r="L2" s="227"/>
      <c r="M2" s="232"/>
    </row>
    <row r="3" spans="1:14" ht="16.5" customHeight="1" thickBot="1" x14ac:dyDescent="0.5">
      <c r="A3" s="2"/>
      <c r="B3" s="233" t="s">
        <v>70</v>
      </c>
      <c r="C3" s="225"/>
      <c r="D3" s="47"/>
      <c r="E3" s="48"/>
      <c r="F3" s="223" t="s">
        <v>296</v>
      </c>
      <c r="G3" s="224"/>
      <c r="H3" s="224"/>
      <c r="I3" s="224"/>
      <c r="J3" s="224"/>
      <c r="K3" s="224"/>
      <c r="L3" s="224"/>
      <c r="M3" s="225"/>
    </row>
    <row r="4" spans="1:14" ht="32.25" customHeight="1" thickBot="1" x14ac:dyDescent="0.5">
      <c r="A4" s="2"/>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1:14" ht="94.5" customHeight="1" x14ac:dyDescent="0.45">
      <c r="A5" s="2"/>
      <c r="B5" s="127">
        <v>1</v>
      </c>
      <c r="C5" s="117" t="s">
        <v>16</v>
      </c>
      <c r="D5" s="117" t="s">
        <v>17</v>
      </c>
      <c r="E5" s="118">
        <v>10</v>
      </c>
      <c r="F5" s="120" t="s">
        <v>297</v>
      </c>
      <c r="G5" s="120" t="s">
        <v>298</v>
      </c>
      <c r="H5" s="53" t="s">
        <v>299</v>
      </c>
      <c r="I5" s="120" t="s">
        <v>300</v>
      </c>
      <c r="J5" s="120" t="s">
        <v>301</v>
      </c>
      <c r="K5" s="120"/>
      <c r="L5" s="121"/>
      <c r="M5" s="120"/>
      <c r="N5" s="122"/>
    </row>
    <row r="6" spans="1:14" ht="94.5" customHeight="1" x14ac:dyDescent="0.45">
      <c r="A6" s="2"/>
      <c r="B6" s="50">
        <v>2</v>
      </c>
      <c r="C6" s="51" t="s">
        <v>16</v>
      </c>
      <c r="D6" s="51" t="s">
        <v>17</v>
      </c>
      <c r="E6" s="52">
        <v>5</v>
      </c>
      <c r="F6" s="53" t="s">
        <v>302</v>
      </c>
      <c r="G6" s="53" t="s">
        <v>303</v>
      </c>
      <c r="H6" s="53"/>
      <c r="I6" s="53" t="s">
        <v>304</v>
      </c>
      <c r="J6" s="53" t="s">
        <v>305</v>
      </c>
      <c r="K6" s="53"/>
      <c r="L6" s="54"/>
      <c r="M6" s="53"/>
      <c r="N6" s="55"/>
    </row>
    <row r="7" spans="1:14" ht="110.25" customHeight="1" x14ac:dyDescent="0.45">
      <c r="A7" s="2"/>
      <c r="B7" s="50">
        <v>3</v>
      </c>
      <c r="C7" s="51" t="s">
        <v>16</v>
      </c>
      <c r="D7" s="51" t="s">
        <v>26</v>
      </c>
      <c r="E7" s="52">
        <v>5</v>
      </c>
      <c r="F7" s="53" t="s">
        <v>306</v>
      </c>
      <c r="G7" s="53" t="s">
        <v>307</v>
      </c>
      <c r="H7" s="53"/>
      <c r="I7" s="53" t="s">
        <v>308</v>
      </c>
      <c r="J7" s="53" t="s">
        <v>309</v>
      </c>
      <c r="K7" s="53"/>
      <c r="L7" s="54"/>
      <c r="M7" s="53"/>
      <c r="N7" s="55"/>
    </row>
    <row r="8" spans="1:14" ht="116.25" customHeight="1" x14ac:dyDescent="0.45">
      <c r="A8" s="2"/>
      <c r="B8" s="50">
        <v>4</v>
      </c>
      <c r="C8" s="51" t="s">
        <v>16</v>
      </c>
      <c r="D8" s="51" t="s">
        <v>17</v>
      </c>
      <c r="E8" s="52">
        <v>5</v>
      </c>
      <c r="F8" s="53" t="s">
        <v>310</v>
      </c>
      <c r="G8" s="53" t="s">
        <v>298</v>
      </c>
      <c r="H8" s="53"/>
      <c r="I8" s="53" t="s">
        <v>311</v>
      </c>
      <c r="J8" s="53" t="s">
        <v>312</v>
      </c>
      <c r="K8" s="53"/>
      <c r="L8" s="54"/>
      <c r="M8" s="53"/>
      <c r="N8" s="55"/>
    </row>
    <row r="9" spans="1:14" ht="72" customHeight="1" x14ac:dyDescent="0.45">
      <c r="A9" s="2"/>
      <c r="B9" s="50">
        <v>5</v>
      </c>
      <c r="C9" s="51" t="s">
        <v>16</v>
      </c>
      <c r="D9" s="51" t="s">
        <v>17</v>
      </c>
      <c r="E9" s="52">
        <v>3</v>
      </c>
      <c r="F9" s="53" t="s">
        <v>313</v>
      </c>
      <c r="G9" s="53" t="s">
        <v>298</v>
      </c>
      <c r="H9" s="53"/>
      <c r="I9" s="53" t="s">
        <v>314</v>
      </c>
      <c r="J9" s="53" t="s">
        <v>315</v>
      </c>
      <c r="K9" s="53"/>
      <c r="L9" s="54"/>
      <c r="M9" s="53"/>
      <c r="N9" s="55"/>
    </row>
    <row r="10" spans="1:14" ht="353.25" customHeight="1" x14ac:dyDescent="0.45">
      <c r="A10" s="2"/>
      <c r="B10" s="50">
        <v>6</v>
      </c>
      <c r="C10" s="51" t="s">
        <v>16</v>
      </c>
      <c r="D10" s="51" t="s">
        <v>26</v>
      </c>
      <c r="E10" s="52">
        <v>3</v>
      </c>
      <c r="F10" s="53" t="s">
        <v>316</v>
      </c>
      <c r="G10" s="53" t="s">
        <v>307</v>
      </c>
      <c r="H10" s="53"/>
      <c r="I10" s="53" t="s">
        <v>317</v>
      </c>
      <c r="J10" s="53" t="s">
        <v>318</v>
      </c>
      <c r="K10" s="53"/>
      <c r="L10" s="54"/>
      <c r="M10" s="53"/>
      <c r="N10" s="55"/>
    </row>
    <row r="11" spans="1:14" ht="32.25" customHeight="1" thickBot="1" x14ac:dyDescent="0.5">
      <c r="A11" s="43"/>
      <c r="B11" s="59">
        <v>7</v>
      </c>
      <c r="C11" s="60" t="s">
        <v>16</v>
      </c>
      <c r="D11" s="60" t="s">
        <v>26</v>
      </c>
      <c r="E11" s="61">
        <v>5</v>
      </c>
      <c r="F11" s="62" t="s">
        <v>57</v>
      </c>
      <c r="G11" s="62" t="s">
        <v>68</v>
      </c>
      <c r="H11" s="53"/>
      <c r="I11" s="62" t="s">
        <v>59</v>
      </c>
      <c r="J11" s="62" t="s">
        <v>60</v>
      </c>
      <c r="K11" s="62"/>
      <c r="L11" s="63"/>
      <c r="M11" s="62"/>
      <c r="N11" s="64"/>
    </row>
    <row r="12" spans="1:14" ht="15.75" customHeight="1" x14ac:dyDescent="0.35">
      <c r="C12" s="1"/>
    </row>
  </sheetData>
  <mergeCells count="3">
    <mergeCell ref="F3:M3"/>
    <mergeCell ref="B2:M2"/>
    <mergeCell ref="B3:C3"/>
  </mergeCells>
  <conditionalFormatting sqref="K5:K10">
    <cfRule type="cellIs" dxfId="425" priority="8" operator="equal">
      <formula>"Not Tested"</formula>
    </cfRule>
    <cfRule type="cellIs" dxfId="424" priority="9" operator="equal">
      <formula>"Not Applicable"</formula>
    </cfRule>
    <cfRule type="cellIs" dxfId="423" priority="10" operator="equal">
      <formula>"Pass"</formula>
    </cfRule>
    <cfRule type="cellIs" dxfId="422" priority="11" operator="equal">
      <formula>"Not Tested"</formula>
    </cfRule>
    <cfRule type="cellIs" dxfId="421" priority="12" operator="equal">
      <formula>"Not Applicable"</formula>
    </cfRule>
    <cfRule type="cellIs" dxfId="420" priority="13" operator="equal">
      <formula>"Fail"</formula>
    </cfRule>
    <cfRule type="cellIs" dxfId="419" priority="14" operator="equal">
      <formula>"Pass"</formula>
    </cfRule>
  </conditionalFormatting>
  <conditionalFormatting sqref="L5:L11">
    <cfRule type="cellIs" dxfId="418" priority="1" operator="equal">
      <formula>"Cancelled"</formula>
    </cfRule>
    <cfRule type="cellIs" dxfId="417" priority="2" operator="equal">
      <formula>"N/A"</formula>
    </cfRule>
    <cfRule type="cellIs" dxfId="416" priority="3" operator="equal">
      <formula>"Pass"</formula>
    </cfRule>
    <cfRule type="cellIs" dxfId="415" priority="4" operator="equal">
      <formula>"In-Progress"</formula>
    </cfRule>
    <cfRule type="cellIs" dxfId="414" priority="5" operator="equal">
      <formula>"Blocked"</formula>
    </cfRule>
    <cfRule type="cellIs" dxfId="413" priority="6" operator="equal">
      <formula>"Fail"</formula>
    </cfRule>
    <cfRule type="cellIs" dxfId="412" priority="7" operator="equal">
      <formula>"Pass"</formula>
    </cfRule>
  </conditionalFormatting>
  <dataValidations count="1">
    <dataValidation type="list" allowBlank="1" showInputMessage="1" showErrorMessage="1" sqref="L5:L11" xr:uid="{00000000-0002-0000-0400-000000000000}">
      <formula1>"Pass, Fail, Blocked, NA"</formula1>
    </dataValidation>
  </dataValidations>
  <pageMargins left="0.7" right="0.7" top="0.75" bottom="0.75" header="0.3" footer="0.3"/>
  <pageSetup paperSize="9" orientation="portrait"/>
  <headerFooter>
    <oddHeader>&amp;L&amp;"Arial"&amp;1 &amp;K000000INTERNAL#</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N14"/>
  <sheetViews>
    <sheetView zoomScale="60" zoomScaleNormal="60" workbookViewId="0">
      <selection activeCell="G10" sqref="G10"/>
    </sheetView>
  </sheetViews>
  <sheetFormatPr defaultColWidth="8.7265625" defaultRowHeight="14.5" x14ac:dyDescent="0.35"/>
  <cols>
    <col min="1" max="1" width="8.7265625" style="46" customWidth="1"/>
    <col min="2" max="2" width="10.26953125" style="65" customWidth="1"/>
    <col min="3" max="3" width="15.1796875" style="65" customWidth="1"/>
    <col min="4" max="4" width="15.453125" style="65" customWidth="1"/>
    <col min="5" max="5" width="11.26953125" style="66" customWidth="1"/>
    <col min="6" max="6" width="52.7265625" style="46" customWidth="1"/>
    <col min="7" max="7" width="51.1796875" style="46" customWidth="1"/>
    <col min="8" max="8" width="55.81640625" style="46" customWidth="1"/>
    <col min="9" max="9" width="58.1796875" style="65" customWidth="1"/>
    <col min="10" max="10" width="43.453125" style="65" customWidth="1"/>
    <col min="11" max="11" width="13.1796875" style="65" customWidth="1"/>
    <col min="12" max="12" width="19.453125" style="46" customWidth="1"/>
    <col min="13" max="13" width="18.81640625" style="46" customWidth="1"/>
    <col min="14" max="14" width="14.81640625" style="46" customWidth="1"/>
    <col min="15" max="61" width="8.7265625" style="46" customWidth="1"/>
    <col min="62" max="16384" width="8.7265625" style="46"/>
  </cols>
  <sheetData>
    <row r="1" spans="1:14" ht="16.5" customHeight="1" thickBot="1" x14ac:dyDescent="0.5">
      <c r="A1" s="43"/>
      <c r="B1" s="44"/>
      <c r="C1" s="44"/>
      <c r="D1" s="44"/>
      <c r="E1" s="45"/>
      <c r="F1" s="43"/>
      <c r="G1" s="43"/>
      <c r="H1" s="43"/>
      <c r="I1" s="44"/>
      <c r="J1" s="44"/>
      <c r="K1" s="44"/>
      <c r="L1" s="43"/>
      <c r="M1" s="43"/>
    </row>
    <row r="2" spans="1:14" ht="29.25" customHeight="1" thickBot="1" x14ac:dyDescent="0.5">
      <c r="A2" s="43"/>
      <c r="B2" s="231" t="s">
        <v>319</v>
      </c>
      <c r="C2" s="227"/>
      <c r="D2" s="227"/>
      <c r="E2" s="227"/>
      <c r="F2" s="227"/>
      <c r="G2" s="227"/>
      <c r="H2" s="227"/>
      <c r="I2" s="227"/>
      <c r="J2" s="227"/>
      <c r="K2" s="227"/>
      <c r="L2" s="227"/>
      <c r="M2" s="232"/>
    </row>
    <row r="3" spans="1:14" ht="16.5" customHeight="1" thickBot="1" x14ac:dyDescent="0.5">
      <c r="A3" s="43"/>
      <c r="B3" s="233" t="s">
        <v>70</v>
      </c>
      <c r="C3" s="225"/>
      <c r="D3" s="47"/>
      <c r="E3" s="48"/>
      <c r="F3" s="223" t="s">
        <v>320</v>
      </c>
      <c r="G3" s="224"/>
      <c r="H3" s="224"/>
      <c r="I3" s="224"/>
      <c r="J3" s="224"/>
      <c r="K3" s="224"/>
      <c r="L3" s="224"/>
      <c r="M3" s="225"/>
    </row>
    <row r="4" spans="1:14" ht="48" customHeight="1" thickBot="1" x14ac:dyDescent="0.5">
      <c r="A4" s="43"/>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1:14" ht="89.5" customHeight="1" x14ac:dyDescent="0.45">
      <c r="A5" s="43"/>
      <c r="B5" s="127">
        <v>1</v>
      </c>
      <c r="C5" s="117" t="s">
        <v>16</v>
      </c>
      <c r="D5" s="117" t="s">
        <v>17</v>
      </c>
      <c r="E5" s="118">
        <v>3</v>
      </c>
      <c r="F5" s="120" t="s">
        <v>321</v>
      </c>
      <c r="G5" s="120" t="s">
        <v>322</v>
      </c>
      <c r="H5" s="53"/>
      <c r="I5" s="120" t="s">
        <v>323</v>
      </c>
      <c r="J5" s="120" t="s">
        <v>324</v>
      </c>
      <c r="K5" s="120"/>
      <c r="L5" s="121"/>
      <c r="M5" s="120"/>
      <c r="N5" s="122"/>
    </row>
    <row r="6" spans="1:14" ht="88.5" customHeight="1" x14ac:dyDescent="0.45">
      <c r="A6" s="43"/>
      <c r="B6" s="50">
        <v>2</v>
      </c>
      <c r="C6" s="51" t="s">
        <v>16</v>
      </c>
      <c r="D6" s="51" t="s">
        <v>17</v>
      </c>
      <c r="E6" s="52">
        <v>3</v>
      </c>
      <c r="F6" s="53" t="s">
        <v>325</v>
      </c>
      <c r="G6" s="53" t="s">
        <v>307</v>
      </c>
      <c r="H6" s="53"/>
      <c r="I6" s="53" t="s">
        <v>326</v>
      </c>
      <c r="J6" s="53" t="s">
        <v>327</v>
      </c>
      <c r="K6" s="53"/>
      <c r="L6" s="54"/>
      <c r="M6" s="53"/>
      <c r="N6" s="55"/>
    </row>
    <row r="7" spans="1:14" ht="236.25" customHeight="1" x14ac:dyDescent="0.45">
      <c r="A7" s="43"/>
      <c r="B7" s="50">
        <v>3</v>
      </c>
      <c r="C7" s="51" t="s">
        <v>16</v>
      </c>
      <c r="D7" s="51" t="s">
        <v>26</v>
      </c>
      <c r="E7" s="52">
        <v>3</v>
      </c>
      <c r="F7" s="53" t="s">
        <v>328</v>
      </c>
      <c r="G7" s="53" t="s">
        <v>329</v>
      </c>
      <c r="H7" s="53"/>
      <c r="I7" s="53" t="s">
        <v>330</v>
      </c>
      <c r="J7" s="53" t="s">
        <v>331</v>
      </c>
      <c r="K7" s="53"/>
      <c r="L7" s="54"/>
      <c r="M7" s="53"/>
      <c r="N7" s="55"/>
    </row>
    <row r="8" spans="1:14" ht="236.25" customHeight="1" x14ac:dyDescent="0.45">
      <c r="A8" s="43"/>
      <c r="B8" s="50">
        <v>4</v>
      </c>
      <c r="C8" s="51" t="s">
        <v>16</v>
      </c>
      <c r="D8" s="51" t="s">
        <v>17</v>
      </c>
      <c r="E8" s="52">
        <v>5</v>
      </c>
      <c r="F8" s="53" t="s">
        <v>332</v>
      </c>
      <c r="G8" s="53" t="s">
        <v>307</v>
      </c>
      <c r="H8" s="53"/>
      <c r="I8" s="53" t="s">
        <v>333</v>
      </c>
      <c r="J8" s="53" t="s">
        <v>334</v>
      </c>
      <c r="K8" s="53"/>
      <c r="L8" s="54"/>
      <c r="M8" s="53"/>
      <c r="N8" s="55"/>
    </row>
    <row r="9" spans="1:14" ht="299.25" customHeight="1" x14ac:dyDescent="0.45">
      <c r="A9" s="43"/>
      <c r="B9" s="50">
        <v>5</v>
      </c>
      <c r="C9" s="51" t="s">
        <v>16</v>
      </c>
      <c r="D9" s="51" t="s">
        <v>26</v>
      </c>
      <c r="E9" s="52">
        <v>3</v>
      </c>
      <c r="F9" s="53" t="s">
        <v>335</v>
      </c>
      <c r="G9" s="53" t="s">
        <v>336</v>
      </c>
      <c r="H9" s="53"/>
      <c r="I9" s="53" t="s">
        <v>330</v>
      </c>
      <c r="J9" s="53" t="s">
        <v>337</v>
      </c>
      <c r="K9" s="53"/>
      <c r="L9" s="54"/>
      <c r="M9" s="53"/>
      <c r="N9" s="55"/>
    </row>
    <row r="10" spans="1:14" ht="252" customHeight="1" x14ac:dyDescent="0.45">
      <c r="A10" s="43"/>
      <c r="B10" s="50">
        <v>6</v>
      </c>
      <c r="C10" s="51" t="s">
        <v>16</v>
      </c>
      <c r="D10" s="51" t="s">
        <v>17</v>
      </c>
      <c r="E10" s="52">
        <v>3</v>
      </c>
      <c r="F10" s="53" t="s">
        <v>338</v>
      </c>
      <c r="G10" s="53" t="s">
        <v>307</v>
      </c>
      <c r="H10" s="53"/>
      <c r="I10" s="53" t="s">
        <v>339</v>
      </c>
      <c r="J10" s="53" t="s">
        <v>340</v>
      </c>
      <c r="K10" s="53"/>
      <c r="L10" s="54"/>
      <c r="M10" s="53"/>
      <c r="N10" s="55"/>
    </row>
    <row r="11" spans="1:14" ht="362.25" customHeight="1" x14ac:dyDescent="0.45">
      <c r="A11" s="43"/>
      <c r="B11" s="50">
        <v>7</v>
      </c>
      <c r="C11" s="51" t="s">
        <v>16</v>
      </c>
      <c r="D11" s="51" t="s">
        <v>103</v>
      </c>
      <c r="E11" s="52">
        <v>3</v>
      </c>
      <c r="F11" s="53" t="s">
        <v>341</v>
      </c>
      <c r="G11" s="53" t="s">
        <v>307</v>
      </c>
      <c r="H11" s="53"/>
      <c r="I11" s="53" t="s">
        <v>342</v>
      </c>
      <c r="J11" s="53" t="s">
        <v>343</v>
      </c>
      <c r="K11" s="53"/>
      <c r="L11" s="54"/>
      <c r="M11" s="53"/>
      <c r="N11" s="55"/>
    </row>
    <row r="12" spans="1:14" ht="204.75" customHeight="1" x14ac:dyDescent="0.45">
      <c r="A12" s="43"/>
      <c r="B12" s="50">
        <v>8</v>
      </c>
      <c r="C12" s="51" t="s">
        <v>16</v>
      </c>
      <c r="D12" s="51" t="s">
        <v>26</v>
      </c>
      <c r="E12" s="52">
        <v>2</v>
      </c>
      <c r="F12" s="53" t="s">
        <v>344</v>
      </c>
      <c r="G12" s="53" t="s">
        <v>307</v>
      </c>
      <c r="H12" s="53"/>
      <c r="I12" s="53" t="s">
        <v>345</v>
      </c>
      <c r="J12" s="53" t="s">
        <v>346</v>
      </c>
      <c r="K12" s="53"/>
      <c r="L12" s="54"/>
      <c r="M12" s="53"/>
      <c r="N12" s="55"/>
    </row>
    <row r="13" spans="1:14" ht="362.25" customHeight="1" x14ac:dyDescent="0.45">
      <c r="A13" s="43"/>
      <c r="B13" s="50">
        <v>9</v>
      </c>
      <c r="C13" s="51" t="s">
        <v>16</v>
      </c>
      <c r="D13" s="51" t="s">
        <v>103</v>
      </c>
      <c r="E13" s="52">
        <v>5</v>
      </c>
      <c r="F13" s="53" t="s">
        <v>347</v>
      </c>
      <c r="G13" s="53" t="s">
        <v>348</v>
      </c>
      <c r="H13" s="53"/>
      <c r="I13" s="53" t="s">
        <v>349</v>
      </c>
      <c r="J13" s="53" t="s">
        <v>350</v>
      </c>
      <c r="K13" s="53"/>
      <c r="L13" s="54"/>
      <c r="M13" s="53"/>
      <c r="N13" s="55"/>
    </row>
    <row r="14" spans="1:14" ht="32.25" customHeight="1" thickBot="1" x14ac:dyDescent="0.5">
      <c r="A14" s="43"/>
      <c r="B14" s="59">
        <v>10</v>
      </c>
      <c r="C14" s="60" t="s">
        <v>16</v>
      </c>
      <c r="D14" s="60" t="s">
        <v>26</v>
      </c>
      <c r="E14" s="61">
        <v>5</v>
      </c>
      <c r="F14" s="62" t="s">
        <v>57</v>
      </c>
      <c r="G14" s="62"/>
      <c r="H14" s="53"/>
      <c r="I14" s="62" t="s">
        <v>59</v>
      </c>
      <c r="J14" s="62" t="s">
        <v>60</v>
      </c>
      <c r="K14" s="62"/>
      <c r="L14" s="63"/>
      <c r="M14" s="62"/>
      <c r="N14" s="64"/>
    </row>
  </sheetData>
  <mergeCells count="3">
    <mergeCell ref="F3:M3"/>
    <mergeCell ref="B2:M2"/>
    <mergeCell ref="B3:C3"/>
  </mergeCells>
  <conditionalFormatting sqref="K5:K13">
    <cfRule type="cellIs" dxfId="411" priority="10" operator="equal">
      <formula>"Pass"</formula>
    </cfRule>
    <cfRule type="cellIs" dxfId="410" priority="13" operator="equal">
      <formula>"Fail"</formula>
    </cfRule>
    <cfRule type="cellIs" dxfId="409" priority="14" operator="equal">
      <formula>"Pass"</formula>
    </cfRule>
    <cfRule type="cellIs" dxfId="408" priority="29" operator="equal">
      <formula>"Not Tested"</formula>
    </cfRule>
    <cfRule type="cellIs" dxfId="407" priority="30" operator="equal">
      <formula>"Not Applicable"</formula>
    </cfRule>
    <cfRule type="cellIs" dxfId="406" priority="32" operator="equal">
      <formula>"Not Tested"</formula>
    </cfRule>
    <cfRule type="cellIs" dxfId="405" priority="33" operator="equal">
      <formula>"Not Applicable"</formula>
    </cfRule>
  </conditionalFormatting>
  <conditionalFormatting sqref="K8">
    <cfRule type="cellIs" dxfId="404" priority="8" operator="equal">
      <formula>"Not Tested"</formula>
    </cfRule>
    <cfRule type="cellIs" dxfId="403" priority="9" operator="equal">
      <formula>"Not Applicable"</formula>
    </cfRule>
    <cfRule type="cellIs" dxfId="402" priority="11" operator="equal">
      <formula>"Not Tested"</formula>
    </cfRule>
    <cfRule type="cellIs" dxfId="401" priority="12" operator="equal">
      <formula>"Not Applicable"</formula>
    </cfRule>
  </conditionalFormatting>
  <conditionalFormatting sqref="L5:L14">
    <cfRule type="cellIs" dxfId="400" priority="1" operator="equal">
      <formula>"Cancelled"</formula>
    </cfRule>
    <cfRule type="cellIs" dxfId="399" priority="2" operator="equal">
      <formula>"N/A"</formula>
    </cfRule>
    <cfRule type="cellIs" dxfId="398" priority="3" operator="equal">
      <formula>"Pass"</formula>
    </cfRule>
    <cfRule type="cellIs" dxfId="397" priority="4" operator="equal">
      <formula>"In-Progress"</formula>
    </cfRule>
    <cfRule type="cellIs" dxfId="396" priority="5" operator="equal">
      <formula>"Blocked"</formula>
    </cfRule>
    <cfRule type="cellIs" dxfId="395" priority="6" operator="equal">
      <formula>"Fail"</formula>
    </cfRule>
    <cfRule type="cellIs" dxfId="394" priority="7" operator="equal">
      <formula>"Pass"</formula>
    </cfRule>
  </conditionalFormatting>
  <dataValidations count="1">
    <dataValidation type="list" allowBlank="1" showInputMessage="1" showErrorMessage="1" sqref="L5:L14 L8" xr:uid="{00000000-0002-0000-0500-000000000000}">
      <formula1>"Pass, Fail, Blocked, NA"</formula1>
    </dataValidation>
  </dataValidations>
  <pageMargins left="0.7" right="0.7" top="0.75" bottom="0.75" header="0.3" footer="0.3"/>
  <pageSetup paperSize="9" orientation="portrait"/>
  <headerFooter>
    <oddHeader>&amp;L&amp;"Arial"&amp;1 &amp;K000000INTERNAL#</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N16"/>
  <sheetViews>
    <sheetView topLeftCell="C1" zoomScale="49" zoomScaleNormal="49" workbookViewId="0">
      <selection activeCell="I5" sqref="I5"/>
    </sheetView>
  </sheetViews>
  <sheetFormatPr defaultColWidth="8.7265625" defaultRowHeight="15.5" x14ac:dyDescent="0.45"/>
  <cols>
    <col min="1" max="1" width="8.7265625" style="2" customWidth="1"/>
    <col min="2" max="2" width="10.26953125" style="2" customWidth="1"/>
    <col min="3" max="3" width="15.1796875" style="8" customWidth="1"/>
    <col min="4" max="4" width="25.453125" style="2" customWidth="1"/>
    <col min="5" max="5" width="11.26953125" style="36" customWidth="1"/>
    <col min="6" max="6" width="55.54296875" style="2" customWidth="1"/>
    <col min="7" max="7" width="50.453125" style="2" customWidth="1"/>
    <col min="8" max="8" width="61.453125" style="2" customWidth="1"/>
    <col min="9" max="9" width="56.26953125" style="1" customWidth="1"/>
    <col min="10" max="10" width="47.81640625" style="1" customWidth="1"/>
    <col min="11" max="11" width="13.1796875" style="1" customWidth="1"/>
    <col min="12" max="12" width="19.453125" style="2" customWidth="1"/>
    <col min="13" max="13" width="18.81640625" style="2" customWidth="1"/>
    <col min="14" max="14" width="15.81640625" style="2" customWidth="1"/>
    <col min="15" max="61" width="8.7265625" style="2" customWidth="1"/>
    <col min="62" max="16384" width="8.7265625" style="2"/>
  </cols>
  <sheetData>
    <row r="1" spans="1:14" ht="16.5" customHeight="1" thickBot="1" x14ac:dyDescent="0.5"/>
    <row r="2" spans="1:14" ht="29.25" customHeight="1" thickBot="1" x14ac:dyDescent="0.5">
      <c r="A2" s="43"/>
      <c r="B2" s="226" t="s">
        <v>351</v>
      </c>
      <c r="C2" s="227"/>
      <c r="D2" s="227"/>
      <c r="E2" s="227"/>
      <c r="F2" s="227"/>
      <c r="G2" s="227"/>
      <c r="H2" s="227"/>
      <c r="I2" s="227"/>
      <c r="J2" s="227"/>
      <c r="K2" s="227"/>
      <c r="L2" s="227"/>
      <c r="M2" s="228"/>
    </row>
    <row r="3" spans="1:14" ht="16.5" customHeight="1" thickBot="1" x14ac:dyDescent="0.5">
      <c r="A3" s="43"/>
      <c r="B3" s="229" t="s">
        <v>70</v>
      </c>
      <c r="C3" s="224"/>
      <c r="D3" s="68"/>
      <c r="E3" s="69"/>
      <c r="F3" s="223" t="s">
        <v>352</v>
      </c>
      <c r="G3" s="224"/>
      <c r="H3" s="224"/>
      <c r="I3" s="224"/>
      <c r="J3" s="224"/>
      <c r="K3" s="224"/>
      <c r="L3" s="224"/>
      <c r="M3" s="225"/>
    </row>
    <row r="4" spans="1:14" ht="48" customHeight="1" thickBot="1" x14ac:dyDescent="0.5">
      <c r="A4" s="43"/>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1:14" ht="362.25" customHeight="1" x14ac:dyDescent="0.45">
      <c r="A5" s="43"/>
      <c r="B5" s="127">
        <v>1</v>
      </c>
      <c r="C5" s="117" t="s">
        <v>16</v>
      </c>
      <c r="D5" s="117" t="s">
        <v>17</v>
      </c>
      <c r="E5" s="118">
        <v>5</v>
      </c>
      <c r="F5" s="119" t="s">
        <v>353</v>
      </c>
      <c r="G5" s="120"/>
      <c r="H5" s="53"/>
      <c r="I5" s="120" t="s">
        <v>354</v>
      </c>
      <c r="J5" s="120" t="s">
        <v>355</v>
      </c>
      <c r="K5" s="120"/>
      <c r="L5" s="121"/>
      <c r="M5" s="120"/>
      <c r="N5" s="122"/>
    </row>
    <row r="6" spans="1:14" ht="126" customHeight="1" x14ac:dyDescent="0.45">
      <c r="A6" s="43"/>
      <c r="B6" s="50">
        <v>2</v>
      </c>
      <c r="C6" s="51" t="s">
        <v>16</v>
      </c>
      <c r="D6" s="51" t="s">
        <v>17</v>
      </c>
      <c r="E6" s="52">
        <v>5</v>
      </c>
      <c r="F6" s="79" t="s">
        <v>356</v>
      </c>
      <c r="G6" s="53"/>
      <c r="H6" s="53"/>
      <c r="I6" s="53" t="s">
        <v>357</v>
      </c>
      <c r="J6" s="53" t="s">
        <v>358</v>
      </c>
      <c r="K6" s="53"/>
      <c r="L6" s="54"/>
      <c r="M6" s="53"/>
      <c r="N6" s="55"/>
    </row>
    <row r="7" spans="1:14" ht="126" customHeight="1" x14ac:dyDescent="0.45">
      <c r="A7" s="43"/>
      <c r="B7" s="50">
        <v>3</v>
      </c>
      <c r="C7" s="51" t="s">
        <v>16</v>
      </c>
      <c r="D7" s="51" t="s">
        <v>17</v>
      </c>
      <c r="E7" s="52">
        <v>2</v>
      </c>
      <c r="F7" s="79" t="s">
        <v>359</v>
      </c>
      <c r="G7" s="53"/>
      <c r="H7" s="53"/>
      <c r="I7" s="53" t="s">
        <v>360</v>
      </c>
      <c r="J7" s="53" t="s">
        <v>361</v>
      </c>
      <c r="K7" s="53"/>
      <c r="L7" s="54"/>
      <c r="M7" s="53"/>
      <c r="N7" s="55"/>
    </row>
    <row r="8" spans="1:14" ht="220.5" customHeight="1" x14ac:dyDescent="0.45">
      <c r="B8" s="50">
        <v>4</v>
      </c>
      <c r="C8" s="51" t="s">
        <v>16</v>
      </c>
      <c r="D8" s="51" t="s">
        <v>17</v>
      </c>
      <c r="E8" s="52">
        <v>5</v>
      </c>
      <c r="F8" s="79" t="s">
        <v>362</v>
      </c>
      <c r="G8" s="53" t="s">
        <v>363</v>
      </c>
      <c r="H8" s="53" t="s">
        <v>364</v>
      </c>
      <c r="I8" s="53" t="s">
        <v>365</v>
      </c>
      <c r="J8" s="77" t="s">
        <v>366</v>
      </c>
      <c r="K8" s="53"/>
      <c r="L8" s="54"/>
      <c r="M8" s="107"/>
      <c r="N8" s="108"/>
    </row>
    <row r="9" spans="1:14" ht="110.25" customHeight="1" x14ac:dyDescent="0.45">
      <c r="B9" s="50">
        <v>5</v>
      </c>
      <c r="C9" s="51" t="s">
        <v>16</v>
      </c>
      <c r="D9" s="51" t="s">
        <v>17</v>
      </c>
      <c r="E9" s="52">
        <v>5</v>
      </c>
      <c r="F9" s="79" t="s">
        <v>367</v>
      </c>
      <c r="G9" s="53" t="s">
        <v>363</v>
      </c>
      <c r="H9" s="53" t="s">
        <v>368</v>
      </c>
      <c r="I9" s="53" t="s">
        <v>369</v>
      </c>
      <c r="J9" s="77" t="s">
        <v>370</v>
      </c>
      <c r="K9" s="56"/>
      <c r="L9" s="57"/>
      <c r="M9" s="112"/>
      <c r="N9" s="113"/>
    </row>
    <row r="10" spans="1:14" ht="346.5" customHeight="1" x14ac:dyDescent="0.45">
      <c r="B10" s="50">
        <v>6</v>
      </c>
      <c r="C10" s="51" t="s">
        <v>16</v>
      </c>
      <c r="D10" s="51" t="s">
        <v>17</v>
      </c>
      <c r="E10" s="52">
        <v>5</v>
      </c>
      <c r="F10" s="79" t="s">
        <v>371</v>
      </c>
      <c r="G10" s="53" t="s">
        <v>363</v>
      </c>
      <c r="H10" s="53" t="s">
        <v>368</v>
      </c>
      <c r="I10" s="53" t="s">
        <v>372</v>
      </c>
      <c r="J10" s="77" t="s">
        <v>373</v>
      </c>
      <c r="K10" s="56"/>
      <c r="L10" s="57"/>
      <c r="M10" s="112"/>
      <c r="N10" s="113"/>
    </row>
    <row r="11" spans="1:14" ht="330.75" customHeight="1" x14ac:dyDescent="0.45">
      <c r="B11" s="50">
        <v>7</v>
      </c>
      <c r="C11" s="51" t="s">
        <v>16</v>
      </c>
      <c r="D11" s="51" t="s">
        <v>17</v>
      </c>
      <c r="E11" s="52">
        <v>5</v>
      </c>
      <c r="F11" s="79" t="s">
        <v>374</v>
      </c>
      <c r="G11" s="53" t="s">
        <v>363</v>
      </c>
      <c r="H11" s="53" t="s">
        <v>368</v>
      </c>
      <c r="I11" s="53" t="s">
        <v>375</v>
      </c>
      <c r="J11" s="77" t="s">
        <v>376</v>
      </c>
      <c r="K11" s="56"/>
      <c r="L11" s="57"/>
      <c r="M11" s="112"/>
      <c r="N11" s="113"/>
    </row>
    <row r="12" spans="1:14" ht="94.5" customHeight="1" x14ac:dyDescent="0.45">
      <c r="B12" s="50">
        <v>8</v>
      </c>
      <c r="C12" s="51" t="s">
        <v>16</v>
      </c>
      <c r="D12" s="51" t="s">
        <v>17</v>
      </c>
      <c r="E12" s="52">
        <v>5</v>
      </c>
      <c r="F12" s="79" t="s">
        <v>377</v>
      </c>
      <c r="G12" s="53" t="s">
        <v>363</v>
      </c>
      <c r="H12" s="53" t="s">
        <v>368</v>
      </c>
      <c r="I12" s="53" t="s">
        <v>378</v>
      </c>
      <c r="J12" s="77" t="s">
        <v>379</v>
      </c>
      <c r="K12" s="56"/>
      <c r="L12" s="57"/>
      <c r="M12" s="112"/>
      <c r="N12" s="113"/>
    </row>
    <row r="13" spans="1:14" ht="94.5" customHeight="1" x14ac:dyDescent="0.45">
      <c r="B13" s="50">
        <v>9</v>
      </c>
      <c r="C13" s="51" t="s">
        <v>16</v>
      </c>
      <c r="D13" s="51" t="s">
        <v>17</v>
      </c>
      <c r="E13" s="52">
        <v>5</v>
      </c>
      <c r="F13" s="79" t="s">
        <v>380</v>
      </c>
      <c r="G13" s="53" t="s">
        <v>363</v>
      </c>
      <c r="H13" s="53" t="s">
        <v>368</v>
      </c>
      <c r="I13" s="53" t="s">
        <v>381</v>
      </c>
      <c r="J13" s="77" t="s">
        <v>382</v>
      </c>
      <c r="K13" s="56"/>
      <c r="L13" s="57"/>
      <c r="M13" s="112"/>
      <c r="N13" s="113"/>
    </row>
    <row r="14" spans="1:14" ht="94.5" customHeight="1" x14ac:dyDescent="0.45">
      <c r="B14" s="50">
        <v>10</v>
      </c>
      <c r="C14" s="51" t="s">
        <v>383</v>
      </c>
      <c r="D14" s="51" t="s">
        <v>17</v>
      </c>
      <c r="E14" s="52">
        <v>5</v>
      </c>
      <c r="F14" s="79" t="s">
        <v>384</v>
      </c>
      <c r="G14" s="53" t="s">
        <v>363</v>
      </c>
      <c r="H14" s="53" t="s">
        <v>364</v>
      </c>
      <c r="I14" s="53" t="s">
        <v>385</v>
      </c>
      <c r="J14" s="77" t="s">
        <v>386</v>
      </c>
      <c r="K14" s="56"/>
      <c r="L14" s="57"/>
      <c r="M14" s="112"/>
      <c r="N14" s="113"/>
    </row>
    <row r="15" spans="1:14" ht="32.25" customHeight="1" thickBot="1" x14ac:dyDescent="0.5">
      <c r="A15" s="43"/>
      <c r="B15" s="59">
        <v>11</v>
      </c>
      <c r="C15" s="60" t="s">
        <v>16</v>
      </c>
      <c r="D15" s="60" t="s">
        <v>26</v>
      </c>
      <c r="E15" s="61">
        <v>5</v>
      </c>
      <c r="F15" s="62" t="s">
        <v>57</v>
      </c>
      <c r="G15" s="62" t="s">
        <v>68</v>
      </c>
      <c r="H15" s="53"/>
      <c r="I15" s="62" t="s">
        <v>59</v>
      </c>
      <c r="J15" s="62" t="s">
        <v>60</v>
      </c>
      <c r="K15" s="62"/>
      <c r="L15" s="63"/>
      <c r="M15" s="62"/>
      <c r="N15" s="64"/>
    </row>
    <row r="16" spans="1:14" x14ac:dyDescent="0.45">
      <c r="F16" s="40"/>
      <c r="G16" s="40"/>
      <c r="H16" s="40"/>
      <c r="I16" s="40"/>
      <c r="J16" s="40"/>
      <c r="K16" s="40"/>
      <c r="L16" s="40"/>
      <c r="M16" s="40"/>
    </row>
  </sheetData>
  <mergeCells count="3">
    <mergeCell ref="F3:M3"/>
    <mergeCell ref="B2:M2"/>
    <mergeCell ref="B3:C3"/>
  </mergeCells>
  <conditionalFormatting sqref="K5:K14">
    <cfRule type="cellIs" dxfId="393" priority="8" operator="equal">
      <formula>"Not Tested"</formula>
    </cfRule>
    <cfRule type="cellIs" dxfId="392" priority="9" operator="equal">
      <formula>"Not Applicable"</formula>
    </cfRule>
    <cfRule type="cellIs" dxfId="391" priority="10" operator="equal">
      <formula>"Pass"</formula>
    </cfRule>
    <cfRule type="cellIs" dxfId="390" priority="11" operator="equal">
      <formula>"Not Tested"</formula>
    </cfRule>
    <cfRule type="cellIs" dxfId="389" priority="12" operator="equal">
      <formula>"Not Applicable"</formula>
    </cfRule>
    <cfRule type="cellIs" dxfId="388" priority="13" operator="equal">
      <formula>"Fail"</formula>
    </cfRule>
    <cfRule type="cellIs" dxfId="387" priority="14" operator="equal">
      <formula>"Pass"</formula>
    </cfRule>
  </conditionalFormatting>
  <conditionalFormatting sqref="L5:L15">
    <cfRule type="cellIs" dxfId="386" priority="1" operator="equal">
      <formula>"Cancelled"</formula>
    </cfRule>
    <cfRule type="cellIs" dxfId="385" priority="2" operator="equal">
      <formula>"N/A"</formula>
    </cfRule>
    <cfRule type="cellIs" dxfId="384" priority="3" operator="equal">
      <formula>"Pass"</formula>
    </cfRule>
    <cfRule type="cellIs" dxfId="383" priority="4" operator="equal">
      <formula>"In-Progress"</formula>
    </cfRule>
    <cfRule type="cellIs" dxfId="382" priority="5" operator="equal">
      <formula>"Blocked"</formula>
    </cfRule>
    <cfRule type="cellIs" dxfId="381" priority="6" operator="equal">
      <formula>"Fail"</formula>
    </cfRule>
    <cfRule type="cellIs" dxfId="380" priority="7" operator="equal">
      <formula>"Pass"</formula>
    </cfRule>
  </conditionalFormatting>
  <dataValidations count="1">
    <dataValidation type="list" allowBlank="1" showInputMessage="1" showErrorMessage="1" sqref="L5:L15" xr:uid="{00000000-0002-0000-06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N35"/>
  <sheetViews>
    <sheetView topLeftCell="A9" zoomScale="70" zoomScaleNormal="70" workbookViewId="0">
      <selection activeCell="A11" sqref="A11:XFD11"/>
    </sheetView>
  </sheetViews>
  <sheetFormatPr defaultColWidth="8.7265625" defaultRowHeight="15.5" x14ac:dyDescent="0.45"/>
  <cols>
    <col min="1" max="1" width="8.7265625" style="2" customWidth="1"/>
    <col min="2" max="2" width="9.1796875" style="2" customWidth="1"/>
    <col min="3" max="3" width="15.1796875" style="8" customWidth="1"/>
    <col min="4" max="4" width="24" style="2" customWidth="1"/>
    <col min="5" max="5" width="11.26953125" style="36" customWidth="1"/>
    <col min="6" max="6" width="69.81640625" style="2" customWidth="1"/>
    <col min="7" max="7" width="36.81640625" style="2" customWidth="1"/>
    <col min="8" max="8" width="61.54296875" style="2" customWidth="1"/>
    <col min="9" max="9" width="66.453125" style="1" customWidth="1"/>
    <col min="10" max="10" width="48.1796875" style="1" customWidth="1"/>
    <col min="11" max="11" width="11.1796875" style="1" bestFit="1" customWidth="1"/>
    <col min="12" max="12" width="19.453125" style="2" customWidth="1"/>
    <col min="13" max="13" width="18.81640625" style="2" customWidth="1"/>
    <col min="14" max="14" width="14.7265625" style="2" customWidth="1"/>
    <col min="15" max="61" width="8.7265625" style="2" customWidth="1"/>
    <col min="62" max="16384" width="8.7265625" style="2"/>
  </cols>
  <sheetData>
    <row r="1" spans="1:14" ht="16.5" customHeight="1" thickBot="1" x14ac:dyDescent="0.5"/>
    <row r="2" spans="1:14" ht="29.25" customHeight="1" thickBot="1" x14ac:dyDescent="0.5">
      <c r="B2" s="226" t="s">
        <v>387</v>
      </c>
      <c r="C2" s="227"/>
      <c r="D2" s="227"/>
      <c r="E2" s="227"/>
      <c r="F2" s="227"/>
      <c r="G2" s="227"/>
      <c r="H2" s="227"/>
      <c r="I2" s="227"/>
      <c r="J2" s="227"/>
      <c r="K2" s="227"/>
      <c r="L2" s="227"/>
      <c r="M2" s="228"/>
    </row>
    <row r="3" spans="1:14" ht="16.5" customHeight="1" thickBot="1" x14ac:dyDescent="0.5">
      <c r="B3" s="229" t="s">
        <v>70</v>
      </c>
      <c r="C3" s="224"/>
      <c r="D3" s="68"/>
      <c r="E3" s="69"/>
      <c r="F3" s="223" t="s">
        <v>388</v>
      </c>
      <c r="G3" s="224"/>
      <c r="H3" s="224"/>
      <c r="I3" s="224"/>
      <c r="J3" s="224"/>
      <c r="K3" s="224"/>
      <c r="L3" s="224"/>
      <c r="M3" s="225"/>
    </row>
    <row r="4" spans="1:14" ht="48" customHeight="1" thickBot="1" x14ac:dyDescent="0.5">
      <c r="A4"/>
      <c r="B4" s="142" t="s">
        <v>3</v>
      </c>
      <c r="C4" s="143" t="s">
        <v>4</v>
      </c>
      <c r="D4" s="143" t="s">
        <v>5</v>
      </c>
      <c r="E4" s="144" t="s">
        <v>6</v>
      </c>
      <c r="F4" s="143" t="s">
        <v>7</v>
      </c>
      <c r="G4" s="143" t="s">
        <v>8</v>
      </c>
      <c r="H4" s="143" t="s">
        <v>9</v>
      </c>
      <c r="I4" s="143" t="s">
        <v>10</v>
      </c>
      <c r="J4" s="143" t="s">
        <v>11</v>
      </c>
      <c r="K4" s="124" t="s">
        <v>12</v>
      </c>
      <c r="L4" s="124" t="s">
        <v>13</v>
      </c>
      <c r="M4" s="124" t="s">
        <v>14</v>
      </c>
      <c r="N4" s="126" t="s">
        <v>15</v>
      </c>
    </row>
    <row r="5" spans="1:14" ht="189" customHeight="1" x14ac:dyDescent="0.45">
      <c r="B5" s="127">
        <v>1</v>
      </c>
      <c r="C5" s="117" t="s">
        <v>16</v>
      </c>
      <c r="D5" s="117" t="s">
        <v>17</v>
      </c>
      <c r="E5" s="118">
        <v>3</v>
      </c>
      <c r="F5" s="120" t="s">
        <v>389</v>
      </c>
      <c r="G5" s="120"/>
      <c r="H5" s="53"/>
      <c r="I5" s="120" t="s">
        <v>390</v>
      </c>
      <c r="J5" s="145" t="s">
        <v>391</v>
      </c>
      <c r="K5" s="121"/>
      <c r="L5" s="121"/>
      <c r="M5" s="121"/>
      <c r="N5" s="141"/>
    </row>
    <row r="6" spans="1:14" ht="409.5" customHeight="1" x14ac:dyDescent="0.45">
      <c r="B6" s="50">
        <v>2</v>
      </c>
      <c r="C6" s="51" t="s">
        <v>16</v>
      </c>
      <c r="D6" s="51" t="s">
        <v>17</v>
      </c>
      <c r="E6" s="52">
        <v>3</v>
      </c>
      <c r="F6" s="79" t="s">
        <v>392</v>
      </c>
      <c r="G6" s="53" t="s">
        <v>307</v>
      </c>
      <c r="H6" s="53"/>
      <c r="I6" s="53" t="s">
        <v>393</v>
      </c>
      <c r="J6" s="111" t="s">
        <v>394</v>
      </c>
      <c r="K6" s="54"/>
      <c r="L6" s="54"/>
      <c r="M6" s="54"/>
      <c r="N6" s="110"/>
    </row>
    <row r="7" spans="1:14" ht="157.5" customHeight="1" x14ac:dyDescent="0.45">
      <c r="B7" s="50">
        <v>3</v>
      </c>
      <c r="C7" s="51" t="s">
        <v>16</v>
      </c>
      <c r="D7" s="51" t="s">
        <v>17</v>
      </c>
      <c r="E7" s="52">
        <v>5</v>
      </c>
      <c r="F7" s="79" t="s">
        <v>395</v>
      </c>
      <c r="G7" s="53" t="s">
        <v>307</v>
      </c>
      <c r="H7" s="53"/>
      <c r="I7" s="53" t="s">
        <v>396</v>
      </c>
      <c r="J7" s="67" t="s">
        <v>397</v>
      </c>
      <c r="K7" s="54"/>
      <c r="L7" s="54"/>
      <c r="M7" s="54"/>
      <c r="N7" s="110"/>
    </row>
    <row r="8" spans="1:14" ht="157.5" customHeight="1" x14ac:dyDescent="0.45">
      <c r="B8" s="50">
        <v>4</v>
      </c>
      <c r="C8" s="51" t="s">
        <v>16</v>
      </c>
      <c r="D8" s="51" t="s">
        <v>103</v>
      </c>
      <c r="E8" s="52">
        <v>5</v>
      </c>
      <c r="F8" s="53" t="s">
        <v>398</v>
      </c>
      <c r="G8" s="53" t="s">
        <v>399</v>
      </c>
      <c r="H8" s="53"/>
      <c r="I8" s="53" t="s">
        <v>400</v>
      </c>
      <c r="J8" s="67" t="s">
        <v>401</v>
      </c>
      <c r="K8" s="54"/>
      <c r="L8" s="54"/>
      <c r="M8" s="54"/>
      <c r="N8" s="110"/>
    </row>
    <row r="9" spans="1:14" ht="151.5" customHeight="1" x14ac:dyDescent="0.45">
      <c r="B9" s="50">
        <v>5</v>
      </c>
      <c r="C9" s="51" t="s">
        <v>16</v>
      </c>
      <c r="D9" s="51" t="s">
        <v>17</v>
      </c>
      <c r="E9" s="52">
        <v>3</v>
      </c>
      <c r="F9" s="79" t="s">
        <v>402</v>
      </c>
      <c r="G9" s="53" t="s">
        <v>403</v>
      </c>
      <c r="H9" s="53"/>
      <c r="I9" s="53" t="s">
        <v>404</v>
      </c>
      <c r="J9" s="67" t="s">
        <v>405</v>
      </c>
      <c r="K9" s="54"/>
      <c r="L9" s="54"/>
      <c r="M9" s="54"/>
      <c r="N9" s="110"/>
    </row>
    <row r="10" spans="1:14" ht="166.5" customHeight="1" x14ac:dyDescent="0.45">
      <c r="B10" s="50">
        <v>6</v>
      </c>
      <c r="C10" s="51" t="s">
        <v>16</v>
      </c>
      <c r="D10" s="51" t="s">
        <v>17</v>
      </c>
      <c r="E10" s="52">
        <v>3</v>
      </c>
      <c r="F10" s="79" t="s">
        <v>406</v>
      </c>
      <c r="G10" s="53" t="s">
        <v>403</v>
      </c>
      <c r="H10" s="53"/>
      <c r="I10" s="53" t="s">
        <v>407</v>
      </c>
      <c r="J10" s="67" t="s">
        <v>408</v>
      </c>
      <c r="K10" s="54"/>
      <c r="L10" s="54"/>
      <c r="M10" s="54"/>
      <c r="N10" s="110"/>
    </row>
    <row r="11" spans="1:14" ht="150.75" customHeight="1" x14ac:dyDescent="0.45">
      <c r="B11" s="50">
        <v>7</v>
      </c>
      <c r="C11" s="51" t="s">
        <v>16</v>
      </c>
      <c r="D11" s="51" t="s">
        <v>17</v>
      </c>
      <c r="E11" s="52">
        <v>3</v>
      </c>
      <c r="F11" s="79" t="s">
        <v>409</v>
      </c>
      <c r="G11" s="53" t="s">
        <v>410</v>
      </c>
      <c r="H11" s="53"/>
      <c r="I11" s="53" t="s">
        <v>411</v>
      </c>
      <c r="J11" s="67" t="s">
        <v>412</v>
      </c>
      <c r="K11" s="54"/>
      <c r="L11" s="54"/>
      <c r="M11" s="54"/>
      <c r="N11" s="110"/>
    </row>
    <row r="12" spans="1:14" ht="135.75" customHeight="1" x14ac:dyDescent="0.45">
      <c r="B12" s="50">
        <v>8</v>
      </c>
      <c r="C12" s="51" t="s">
        <v>16</v>
      </c>
      <c r="D12" s="51" t="s">
        <v>17</v>
      </c>
      <c r="E12" s="52">
        <v>5</v>
      </c>
      <c r="F12" s="79" t="s">
        <v>413</v>
      </c>
      <c r="G12" s="53" t="s">
        <v>414</v>
      </c>
      <c r="H12" s="53"/>
      <c r="I12" s="53" t="s">
        <v>415</v>
      </c>
      <c r="J12" s="67" t="s">
        <v>416</v>
      </c>
      <c r="K12" s="54"/>
      <c r="L12" s="54"/>
      <c r="M12" s="54"/>
      <c r="N12" s="110"/>
    </row>
    <row r="13" spans="1:14" ht="145.5" customHeight="1" x14ac:dyDescent="0.45">
      <c r="B13" s="50">
        <v>9</v>
      </c>
      <c r="C13" s="51" t="s">
        <v>16</v>
      </c>
      <c r="D13" s="51" t="s">
        <v>17</v>
      </c>
      <c r="E13" s="52">
        <v>5</v>
      </c>
      <c r="F13" s="79" t="s">
        <v>417</v>
      </c>
      <c r="G13" s="53" t="s">
        <v>414</v>
      </c>
      <c r="H13" s="53"/>
      <c r="I13" s="53" t="s">
        <v>415</v>
      </c>
      <c r="J13" s="67" t="s">
        <v>418</v>
      </c>
      <c r="K13" s="51"/>
      <c r="L13" s="54"/>
      <c r="M13" s="71"/>
      <c r="N13" s="72"/>
    </row>
    <row r="14" spans="1:14" ht="110.25" customHeight="1" x14ac:dyDescent="0.45">
      <c r="B14" s="50">
        <v>10</v>
      </c>
      <c r="C14" s="51" t="s">
        <v>16</v>
      </c>
      <c r="D14" s="51" t="s">
        <v>103</v>
      </c>
      <c r="E14" s="52">
        <v>5</v>
      </c>
      <c r="F14" s="53" t="s">
        <v>419</v>
      </c>
      <c r="G14" s="53" t="s">
        <v>420</v>
      </c>
      <c r="H14" s="53" t="s">
        <v>421</v>
      </c>
      <c r="I14" s="53" t="s">
        <v>400</v>
      </c>
      <c r="J14" s="67" t="s">
        <v>401</v>
      </c>
      <c r="K14" s="54"/>
      <c r="L14" s="54"/>
      <c r="M14" s="54"/>
      <c r="N14" s="110"/>
    </row>
    <row r="15" spans="1:14" ht="110.25" customHeight="1" x14ac:dyDescent="0.45">
      <c r="B15" s="50">
        <v>11</v>
      </c>
      <c r="C15" s="51" t="s">
        <v>16</v>
      </c>
      <c r="D15" s="51" t="s">
        <v>26</v>
      </c>
      <c r="E15" s="52">
        <v>5</v>
      </c>
      <c r="F15" s="53" t="s">
        <v>422</v>
      </c>
      <c r="G15" s="53" t="s">
        <v>307</v>
      </c>
      <c r="H15" s="53" t="s">
        <v>423</v>
      </c>
      <c r="I15" s="53" t="s">
        <v>400</v>
      </c>
      <c r="J15" s="67" t="s">
        <v>424</v>
      </c>
      <c r="K15" s="54"/>
      <c r="L15" s="54"/>
      <c r="M15" s="54"/>
      <c r="N15" s="110"/>
    </row>
    <row r="16" spans="1:14" ht="126" customHeight="1" x14ac:dyDescent="0.45">
      <c r="B16" s="50">
        <v>12</v>
      </c>
      <c r="C16" s="51" t="s">
        <v>16</v>
      </c>
      <c r="D16" s="51" t="s">
        <v>17</v>
      </c>
      <c r="E16" s="52">
        <v>5</v>
      </c>
      <c r="F16" s="79" t="s">
        <v>425</v>
      </c>
      <c r="G16" s="53" t="s">
        <v>426</v>
      </c>
      <c r="H16" s="53" t="s">
        <v>427</v>
      </c>
      <c r="I16" s="53" t="s">
        <v>428</v>
      </c>
      <c r="J16" s="67" t="s">
        <v>429</v>
      </c>
      <c r="K16" s="51"/>
      <c r="L16" s="54"/>
      <c r="M16" s="71"/>
      <c r="N16" s="72"/>
    </row>
    <row r="17" spans="2:14" ht="126" customHeight="1" x14ac:dyDescent="0.45">
      <c r="B17" s="50">
        <v>13</v>
      </c>
      <c r="C17" s="51" t="s">
        <v>16</v>
      </c>
      <c r="D17" s="51" t="s">
        <v>26</v>
      </c>
      <c r="E17" s="52">
        <v>5</v>
      </c>
      <c r="F17" s="79" t="s">
        <v>430</v>
      </c>
      <c r="G17" s="53" t="s">
        <v>426</v>
      </c>
      <c r="H17" s="53" t="s">
        <v>431</v>
      </c>
      <c r="I17" s="53" t="s">
        <v>432</v>
      </c>
      <c r="J17" s="67" t="s">
        <v>433</v>
      </c>
      <c r="K17" s="51"/>
      <c r="L17" s="54"/>
      <c r="M17" s="71"/>
      <c r="N17" s="72"/>
    </row>
    <row r="18" spans="2:14" ht="126" customHeight="1" x14ac:dyDescent="0.45">
      <c r="B18" s="50">
        <v>14</v>
      </c>
      <c r="C18" s="51" t="s">
        <v>16</v>
      </c>
      <c r="D18" s="51" t="s">
        <v>26</v>
      </c>
      <c r="E18" s="52">
        <v>5</v>
      </c>
      <c r="F18" s="79" t="s">
        <v>434</v>
      </c>
      <c r="G18" s="53" t="s">
        <v>426</v>
      </c>
      <c r="H18" s="53" t="s">
        <v>435</v>
      </c>
      <c r="I18" s="53" t="s">
        <v>436</v>
      </c>
      <c r="J18" s="67" t="s">
        <v>437</v>
      </c>
      <c r="K18" s="51"/>
      <c r="L18" s="54"/>
      <c r="M18" s="71"/>
      <c r="N18" s="72"/>
    </row>
    <row r="19" spans="2:14" ht="126" customHeight="1" x14ac:dyDescent="0.45">
      <c r="B19" s="50">
        <v>15</v>
      </c>
      <c r="C19" s="51" t="s">
        <v>16</v>
      </c>
      <c r="D19" s="51" t="s">
        <v>26</v>
      </c>
      <c r="E19" s="52">
        <v>5</v>
      </c>
      <c r="F19" s="79" t="s">
        <v>438</v>
      </c>
      <c r="G19" s="53" t="s">
        <v>426</v>
      </c>
      <c r="H19" s="53" t="s">
        <v>439</v>
      </c>
      <c r="I19" s="53" t="s">
        <v>440</v>
      </c>
      <c r="J19" s="67" t="s">
        <v>441</v>
      </c>
      <c r="K19" s="51"/>
      <c r="L19" s="54"/>
      <c r="M19" s="71"/>
      <c r="N19" s="72"/>
    </row>
    <row r="20" spans="2:14" ht="126" customHeight="1" x14ac:dyDescent="0.45">
      <c r="B20" s="50">
        <v>16</v>
      </c>
      <c r="C20" s="51" t="s">
        <v>16</v>
      </c>
      <c r="D20" s="51" t="s">
        <v>103</v>
      </c>
      <c r="E20" s="52">
        <v>3</v>
      </c>
      <c r="F20" s="79" t="s">
        <v>442</v>
      </c>
      <c r="G20" s="53" t="s">
        <v>426</v>
      </c>
      <c r="H20" s="53" t="s">
        <v>443</v>
      </c>
      <c r="I20" s="53" t="s">
        <v>444</v>
      </c>
      <c r="J20" s="67" t="s">
        <v>445</v>
      </c>
      <c r="K20" s="51"/>
      <c r="L20" s="54"/>
      <c r="M20" s="71"/>
      <c r="N20" s="72"/>
    </row>
    <row r="21" spans="2:14" ht="141.75" customHeight="1" x14ac:dyDescent="0.45">
      <c r="B21" s="50">
        <v>17</v>
      </c>
      <c r="C21" s="51" t="s">
        <v>16</v>
      </c>
      <c r="D21" s="51" t="s">
        <v>26</v>
      </c>
      <c r="E21" s="52">
        <v>5</v>
      </c>
      <c r="F21" s="79" t="s">
        <v>446</v>
      </c>
      <c r="G21" s="53" t="s">
        <v>447</v>
      </c>
      <c r="H21" s="53" t="s">
        <v>448</v>
      </c>
      <c r="I21" s="53" t="s">
        <v>449</v>
      </c>
      <c r="J21" s="67" t="s">
        <v>450</v>
      </c>
      <c r="K21" s="51"/>
      <c r="L21" s="54"/>
      <c r="M21" s="71"/>
      <c r="N21" s="72"/>
    </row>
    <row r="22" spans="2:14" ht="141.75" customHeight="1" x14ac:dyDescent="0.45">
      <c r="B22" s="50">
        <v>18</v>
      </c>
      <c r="C22" s="51" t="s">
        <v>16</v>
      </c>
      <c r="D22" s="51" t="s">
        <v>17</v>
      </c>
      <c r="E22" s="52">
        <v>5</v>
      </c>
      <c r="F22" s="79" t="s">
        <v>451</v>
      </c>
      <c r="G22" s="53" t="s">
        <v>447</v>
      </c>
      <c r="H22" s="53" t="s">
        <v>452</v>
      </c>
      <c r="I22" s="53" t="s">
        <v>453</v>
      </c>
      <c r="J22" s="67" t="s">
        <v>454</v>
      </c>
      <c r="K22" s="51"/>
      <c r="L22" s="54"/>
      <c r="M22" s="71"/>
      <c r="N22" s="72"/>
    </row>
    <row r="23" spans="2:14" ht="141.75" customHeight="1" x14ac:dyDescent="0.45">
      <c r="B23" s="50">
        <v>19</v>
      </c>
      <c r="C23" s="51" t="s">
        <v>16</v>
      </c>
      <c r="D23" s="51" t="s">
        <v>26</v>
      </c>
      <c r="E23" s="52">
        <v>5</v>
      </c>
      <c r="F23" s="79" t="s">
        <v>455</v>
      </c>
      <c r="G23" s="53" t="s">
        <v>447</v>
      </c>
      <c r="H23" s="53" t="s">
        <v>456</v>
      </c>
      <c r="I23" s="53" t="s">
        <v>457</v>
      </c>
      <c r="J23" s="67" t="s">
        <v>458</v>
      </c>
      <c r="K23" s="51"/>
      <c r="L23" s="54"/>
      <c r="M23" s="71"/>
      <c r="N23" s="72"/>
    </row>
    <row r="24" spans="2:14" ht="141.75" customHeight="1" x14ac:dyDescent="0.45">
      <c r="B24" s="50">
        <v>20</v>
      </c>
      <c r="C24" s="51" t="s">
        <v>16</v>
      </c>
      <c r="D24" s="51" t="s">
        <v>26</v>
      </c>
      <c r="E24" s="52">
        <v>5</v>
      </c>
      <c r="F24" s="79" t="s">
        <v>459</v>
      </c>
      <c r="G24" s="53" t="s">
        <v>447</v>
      </c>
      <c r="H24" s="53" t="s">
        <v>460</v>
      </c>
      <c r="I24" s="53" t="s">
        <v>461</v>
      </c>
      <c r="J24" s="67" t="s">
        <v>462</v>
      </c>
      <c r="K24" s="51"/>
      <c r="L24" s="54"/>
      <c r="M24" s="71"/>
      <c r="N24" s="72"/>
    </row>
    <row r="25" spans="2:14" ht="141.75" customHeight="1" x14ac:dyDescent="0.45">
      <c r="B25" s="50">
        <v>21</v>
      </c>
      <c r="C25" s="51" t="s">
        <v>16</v>
      </c>
      <c r="D25" s="51" t="s">
        <v>17</v>
      </c>
      <c r="E25" s="52">
        <v>5</v>
      </c>
      <c r="F25" s="79" t="s">
        <v>463</v>
      </c>
      <c r="G25" s="53" t="s">
        <v>447</v>
      </c>
      <c r="H25" s="53" t="s">
        <v>464</v>
      </c>
      <c r="I25" s="53" t="s">
        <v>465</v>
      </c>
      <c r="J25" s="67" t="s">
        <v>466</v>
      </c>
      <c r="K25" s="51"/>
      <c r="L25" s="54"/>
      <c r="M25" s="71"/>
      <c r="N25" s="72"/>
    </row>
    <row r="26" spans="2:14" ht="141.75" customHeight="1" x14ac:dyDescent="0.45">
      <c r="B26" s="50">
        <v>22</v>
      </c>
      <c r="C26" s="51" t="s">
        <v>16</v>
      </c>
      <c r="D26" s="51" t="s">
        <v>103</v>
      </c>
      <c r="E26" s="52">
        <v>3</v>
      </c>
      <c r="F26" s="79" t="s">
        <v>467</v>
      </c>
      <c r="G26" s="53" t="s">
        <v>447</v>
      </c>
      <c r="H26" s="53" t="s">
        <v>468</v>
      </c>
      <c r="I26" s="53" t="s">
        <v>469</v>
      </c>
      <c r="J26" s="67" t="s">
        <v>470</v>
      </c>
      <c r="K26" s="51"/>
      <c r="L26" s="54"/>
      <c r="M26" s="71"/>
      <c r="N26" s="72"/>
    </row>
    <row r="27" spans="2:14" ht="126" customHeight="1" x14ac:dyDescent="0.45">
      <c r="B27" s="50">
        <v>23</v>
      </c>
      <c r="C27" s="51" t="s">
        <v>16</v>
      </c>
      <c r="D27" s="51" t="s">
        <v>17</v>
      </c>
      <c r="E27" s="52">
        <v>5</v>
      </c>
      <c r="F27" s="79" t="s">
        <v>471</v>
      </c>
      <c r="G27" s="53" t="s">
        <v>472</v>
      </c>
      <c r="H27" s="53" t="s">
        <v>473</v>
      </c>
      <c r="I27" s="53" t="s">
        <v>474</v>
      </c>
      <c r="J27" s="67" t="s">
        <v>475</v>
      </c>
      <c r="K27" s="51"/>
      <c r="L27" s="54"/>
      <c r="M27" s="71"/>
      <c r="N27" s="72"/>
    </row>
    <row r="28" spans="2:14" ht="126" customHeight="1" x14ac:dyDescent="0.45">
      <c r="B28" s="50">
        <v>24</v>
      </c>
      <c r="C28" s="51" t="s">
        <v>16</v>
      </c>
      <c r="D28" s="51" t="s">
        <v>17</v>
      </c>
      <c r="E28" s="52">
        <v>5</v>
      </c>
      <c r="F28" s="79" t="s">
        <v>476</v>
      </c>
      <c r="G28" s="53" t="s">
        <v>472</v>
      </c>
      <c r="H28" s="53" t="s">
        <v>477</v>
      </c>
      <c r="I28" s="53" t="s">
        <v>478</v>
      </c>
      <c r="J28" s="67" t="s">
        <v>479</v>
      </c>
      <c r="K28" s="51"/>
      <c r="L28" s="54"/>
      <c r="M28" s="71"/>
      <c r="N28" s="72"/>
    </row>
    <row r="29" spans="2:14" ht="126" customHeight="1" x14ac:dyDescent="0.45">
      <c r="B29" s="50">
        <v>25</v>
      </c>
      <c r="C29" s="51" t="s">
        <v>16</v>
      </c>
      <c r="D29" s="51" t="s">
        <v>103</v>
      </c>
      <c r="E29" s="52">
        <v>3</v>
      </c>
      <c r="F29" s="79" t="s">
        <v>480</v>
      </c>
      <c r="G29" s="53" t="s">
        <v>472</v>
      </c>
      <c r="H29" s="53" t="s">
        <v>481</v>
      </c>
      <c r="I29" s="53" t="s">
        <v>482</v>
      </c>
      <c r="J29" s="67" t="s">
        <v>483</v>
      </c>
      <c r="K29" s="51"/>
      <c r="L29" s="54"/>
      <c r="M29" s="71"/>
      <c r="N29" s="72"/>
    </row>
    <row r="30" spans="2:14" ht="156" customHeight="1" x14ac:dyDescent="0.45">
      <c r="B30" s="50">
        <v>26</v>
      </c>
      <c r="C30" s="51" t="s">
        <v>16</v>
      </c>
      <c r="D30" s="51" t="s">
        <v>103</v>
      </c>
      <c r="E30" s="52">
        <v>3</v>
      </c>
      <c r="F30" s="79" t="s">
        <v>484</v>
      </c>
      <c r="G30" s="53" t="s">
        <v>485</v>
      </c>
      <c r="H30" s="53" t="s">
        <v>486</v>
      </c>
      <c r="I30" s="53" t="s">
        <v>487</v>
      </c>
      <c r="J30" s="67" t="s">
        <v>488</v>
      </c>
      <c r="K30" s="51"/>
      <c r="L30" s="54"/>
      <c r="M30" s="71"/>
      <c r="N30" s="72"/>
    </row>
    <row r="31" spans="2:14" ht="152.25" customHeight="1" x14ac:dyDescent="0.45">
      <c r="B31" s="50">
        <v>27</v>
      </c>
      <c r="C31" s="51" t="s">
        <v>16</v>
      </c>
      <c r="D31" s="51" t="s">
        <v>103</v>
      </c>
      <c r="E31" s="52">
        <v>3</v>
      </c>
      <c r="F31" s="79" t="s">
        <v>489</v>
      </c>
      <c r="G31" s="53" t="s">
        <v>485</v>
      </c>
      <c r="H31" s="53" t="s">
        <v>486</v>
      </c>
      <c r="I31" s="53" t="s">
        <v>490</v>
      </c>
      <c r="J31" s="67" t="s">
        <v>491</v>
      </c>
      <c r="K31" s="51"/>
      <c r="L31" s="54"/>
      <c r="M31" s="71"/>
      <c r="N31" s="72"/>
    </row>
    <row r="32" spans="2:14" ht="141.75" customHeight="1" x14ac:dyDescent="0.45">
      <c r="B32" s="50">
        <v>28</v>
      </c>
      <c r="C32" s="51" t="s">
        <v>16</v>
      </c>
      <c r="D32" s="51" t="s">
        <v>17</v>
      </c>
      <c r="E32" s="52">
        <v>3</v>
      </c>
      <c r="F32" s="79" t="s">
        <v>492</v>
      </c>
      <c r="G32" s="53" t="s">
        <v>493</v>
      </c>
      <c r="H32" s="53"/>
      <c r="I32" s="53" t="s">
        <v>494</v>
      </c>
      <c r="J32" s="67" t="s">
        <v>495</v>
      </c>
      <c r="K32" s="51"/>
      <c r="L32" s="54"/>
      <c r="M32" s="71"/>
      <c r="N32" s="72"/>
    </row>
    <row r="33" spans="2:14" ht="126" customHeight="1" x14ac:dyDescent="0.45">
      <c r="B33" s="50">
        <v>29</v>
      </c>
      <c r="C33" s="51" t="s">
        <v>16</v>
      </c>
      <c r="D33" s="51" t="s">
        <v>17</v>
      </c>
      <c r="E33" s="52">
        <v>5</v>
      </c>
      <c r="F33" s="79" t="s">
        <v>496</v>
      </c>
      <c r="G33" s="53" t="s">
        <v>307</v>
      </c>
      <c r="H33" s="53"/>
      <c r="I33" s="53" t="s">
        <v>497</v>
      </c>
      <c r="J33" s="67" t="s">
        <v>498</v>
      </c>
      <c r="K33" s="51"/>
      <c r="L33" s="54"/>
      <c r="M33" s="71"/>
      <c r="N33" s="72"/>
    </row>
    <row r="34" spans="2:14" ht="110.25" customHeight="1" x14ac:dyDescent="0.45">
      <c r="B34" s="50">
        <v>30</v>
      </c>
      <c r="C34" s="51" t="s">
        <v>16</v>
      </c>
      <c r="D34" s="51" t="s">
        <v>26</v>
      </c>
      <c r="E34" s="52">
        <v>3</v>
      </c>
      <c r="F34" s="79" t="s">
        <v>499</v>
      </c>
      <c r="G34" s="53" t="s">
        <v>307</v>
      </c>
      <c r="H34" s="53"/>
      <c r="I34" s="53" t="s">
        <v>500</v>
      </c>
      <c r="J34" s="67" t="s">
        <v>501</v>
      </c>
      <c r="K34" s="51"/>
      <c r="L34" s="54"/>
      <c r="M34" s="71"/>
      <c r="N34" s="72"/>
    </row>
    <row r="35" spans="2:14" ht="32.25" customHeight="1" thickBot="1" x14ac:dyDescent="0.5">
      <c r="B35" s="59">
        <v>31</v>
      </c>
      <c r="C35" s="60" t="s">
        <v>16</v>
      </c>
      <c r="D35" s="60" t="s">
        <v>103</v>
      </c>
      <c r="E35" s="61">
        <v>5</v>
      </c>
      <c r="F35" s="62" t="s">
        <v>57</v>
      </c>
      <c r="G35" s="62" t="s">
        <v>68</v>
      </c>
      <c r="H35" s="53"/>
      <c r="I35" s="62" t="s">
        <v>59</v>
      </c>
      <c r="J35" s="62" t="s">
        <v>60</v>
      </c>
      <c r="K35" s="62"/>
      <c r="L35" s="63"/>
      <c r="M35" s="62"/>
      <c r="N35" s="64"/>
    </row>
  </sheetData>
  <mergeCells count="3">
    <mergeCell ref="F3:M3"/>
    <mergeCell ref="B2:M2"/>
    <mergeCell ref="B3:C3"/>
  </mergeCells>
  <conditionalFormatting sqref="K5:K15">
    <cfRule type="cellIs" dxfId="379" priority="10" operator="equal">
      <formula>"Pass"</formula>
    </cfRule>
    <cfRule type="cellIs" dxfId="378" priority="13" operator="equal">
      <formula>"Fail"</formula>
    </cfRule>
    <cfRule type="cellIs" dxfId="377" priority="14" operator="equal">
      <formula>"Pass"</formula>
    </cfRule>
    <cfRule type="cellIs" dxfId="376" priority="64" operator="equal">
      <formula>"Not Tested"</formula>
    </cfRule>
    <cfRule type="cellIs" dxfId="375" priority="65" operator="equal">
      <formula>"Not Applicable"</formula>
    </cfRule>
    <cfRule type="cellIs" dxfId="374" priority="67" operator="equal">
      <formula>"Not Tested"</formula>
    </cfRule>
    <cfRule type="cellIs" dxfId="373" priority="68" operator="equal">
      <formula>"Not Applicable"</formula>
    </cfRule>
  </conditionalFormatting>
  <conditionalFormatting sqref="K9:K12">
    <cfRule type="cellIs" dxfId="372" priority="8" operator="equal">
      <formula>"Not Tested"</formula>
    </cfRule>
    <cfRule type="cellIs" dxfId="371" priority="9" operator="equal">
      <formula>"Not Applicable"</formula>
    </cfRule>
    <cfRule type="cellIs" dxfId="370" priority="11" operator="equal">
      <formula>"Not Tested"</formula>
    </cfRule>
    <cfRule type="cellIs" dxfId="369" priority="12" operator="equal">
      <formula>"Not Applicable"</formula>
    </cfRule>
  </conditionalFormatting>
  <conditionalFormatting sqref="L5:L35">
    <cfRule type="cellIs" dxfId="368" priority="1" operator="equal">
      <formula>"Cancelled"</formula>
    </cfRule>
    <cfRule type="cellIs" dxfId="367" priority="2" operator="equal">
      <formula>"N/A"</formula>
    </cfRule>
    <cfRule type="cellIs" dxfId="366" priority="3" operator="equal">
      <formula>"Pass"</formula>
    </cfRule>
    <cfRule type="cellIs" dxfId="365" priority="4" operator="equal">
      <formula>"In-Progress"</formula>
    </cfRule>
    <cfRule type="cellIs" dxfId="364" priority="5" operator="equal">
      <formula>"Blocked"</formula>
    </cfRule>
    <cfRule type="cellIs" dxfId="363" priority="6" operator="equal">
      <formula>"Fail"</formula>
    </cfRule>
    <cfRule type="cellIs" dxfId="362" priority="7" operator="equal">
      <formula>"Pass"</formula>
    </cfRule>
  </conditionalFormatting>
  <dataValidations count="1">
    <dataValidation type="list" allowBlank="1" showInputMessage="1" showErrorMessage="1" sqref="L5:L35" xr:uid="{00000000-0002-0000-07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23"/>
  <sheetViews>
    <sheetView topLeftCell="A9" zoomScale="70" zoomScaleNormal="60" workbookViewId="0">
      <selection activeCell="B21" sqref="B21"/>
    </sheetView>
  </sheetViews>
  <sheetFormatPr defaultColWidth="8.7265625" defaultRowHeight="15.5" x14ac:dyDescent="0.45"/>
  <cols>
    <col min="1" max="1" width="8.7265625" style="2" customWidth="1"/>
    <col min="2" max="2" width="9.1796875" style="2" customWidth="1"/>
    <col min="3" max="3" width="15.1796875" style="8" customWidth="1"/>
    <col min="4" max="4" width="17.54296875" style="2" customWidth="1"/>
    <col min="5" max="5" width="11.26953125" style="36" customWidth="1"/>
    <col min="6" max="6" width="65.54296875" style="2" customWidth="1"/>
    <col min="7" max="7" width="40.26953125" style="2" customWidth="1"/>
    <col min="8" max="8" width="53.81640625" style="2" customWidth="1"/>
    <col min="9" max="9" width="66.453125" style="1" customWidth="1"/>
    <col min="10" max="10" width="46.26953125" style="1" customWidth="1"/>
    <col min="11" max="11" width="11.26953125" style="1" bestFit="1" customWidth="1"/>
    <col min="12" max="12" width="19.453125" style="2" customWidth="1"/>
    <col min="13" max="13" width="18.81640625" style="2" customWidth="1"/>
    <col min="14" max="14" width="14.1796875" style="2" customWidth="1"/>
    <col min="15" max="61" width="8.7265625" style="2" customWidth="1"/>
    <col min="62" max="16384" width="8.7265625" style="2"/>
  </cols>
  <sheetData>
    <row r="1" spans="1:14" ht="16.5" customHeight="1" thickBot="1" x14ac:dyDescent="0.5"/>
    <row r="2" spans="1:14" ht="29.25" customHeight="1" thickBot="1" x14ac:dyDescent="0.5">
      <c r="B2" s="236" t="s">
        <v>502</v>
      </c>
      <c r="C2" s="224"/>
      <c r="D2" s="224"/>
      <c r="E2" s="224"/>
      <c r="F2" s="224"/>
      <c r="G2" s="224"/>
      <c r="H2" s="224"/>
      <c r="I2" s="224"/>
      <c r="J2" s="224"/>
      <c r="K2" s="224"/>
      <c r="L2" s="224"/>
      <c r="M2" s="235"/>
    </row>
    <row r="3" spans="1:14" ht="16.5" customHeight="1" thickBot="1" x14ac:dyDescent="0.5">
      <c r="B3" s="237" t="s">
        <v>70</v>
      </c>
      <c r="C3" s="235"/>
      <c r="D3" s="187"/>
      <c r="E3" s="188"/>
      <c r="F3" s="234" t="s">
        <v>503</v>
      </c>
      <c r="G3" s="224"/>
      <c r="H3" s="224"/>
      <c r="I3" s="224"/>
      <c r="J3" s="224"/>
      <c r="K3" s="224"/>
      <c r="L3" s="224"/>
      <c r="M3" s="235"/>
    </row>
    <row r="4" spans="1:14" ht="48" customHeight="1" thickBot="1" x14ac:dyDescent="0.5">
      <c r="A4"/>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1:14" ht="110.25" customHeight="1" x14ac:dyDescent="0.45">
      <c r="B5" s="127">
        <v>1</v>
      </c>
      <c r="C5" s="117" t="s">
        <v>16</v>
      </c>
      <c r="D5" s="117" t="s">
        <v>17</v>
      </c>
      <c r="E5" s="118">
        <v>2</v>
      </c>
      <c r="F5" s="119" t="s">
        <v>504</v>
      </c>
      <c r="G5" s="120" t="s">
        <v>307</v>
      </c>
      <c r="H5" s="53"/>
      <c r="I5" s="120" t="s">
        <v>505</v>
      </c>
      <c r="J5" s="120" t="s">
        <v>506</v>
      </c>
      <c r="K5" s="121"/>
      <c r="L5" s="121"/>
      <c r="M5" s="121"/>
      <c r="N5" s="141"/>
    </row>
    <row r="6" spans="1:14" ht="152.25" customHeight="1" x14ac:dyDescent="0.45">
      <c r="B6" s="50">
        <v>2</v>
      </c>
      <c r="C6" s="51" t="s">
        <v>16</v>
      </c>
      <c r="D6" s="51" t="s">
        <v>17</v>
      </c>
      <c r="E6" s="52">
        <v>5</v>
      </c>
      <c r="F6" s="111" t="s">
        <v>507</v>
      </c>
      <c r="G6" s="53" t="s">
        <v>508</v>
      </c>
      <c r="H6" s="53" t="s">
        <v>509</v>
      </c>
      <c r="I6" s="53" t="s">
        <v>510</v>
      </c>
      <c r="J6" s="53" t="s">
        <v>511</v>
      </c>
      <c r="K6" s="54"/>
      <c r="L6" s="54"/>
      <c r="M6" s="54"/>
      <c r="N6" s="110"/>
    </row>
    <row r="7" spans="1:14" ht="141.75" customHeight="1" x14ac:dyDescent="0.45">
      <c r="B7" s="50">
        <v>3</v>
      </c>
      <c r="C7" s="51" t="s">
        <v>16</v>
      </c>
      <c r="D7" s="51" t="s">
        <v>26</v>
      </c>
      <c r="E7" s="52">
        <v>4</v>
      </c>
      <c r="F7" s="67" t="s">
        <v>534</v>
      </c>
      <c r="G7" s="53" t="s">
        <v>529</v>
      </c>
      <c r="H7" s="53" t="s">
        <v>530</v>
      </c>
      <c r="I7" s="53" t="s">
        <v>521</v>
      </c>
      <c r="J7" s="53" t="s">
        <v>535</v>
      </c>
      <c r="K7" s="51"/>
      <c r="L7" s="54"/>
      <c r="M7" s="71"/>
      <c r="N7" s="72"/>
    </row>
    <row r="8" spans="1:14" ht="132.75" customHeight="1" x14ac:dyDescent="0.45">
      <c r="B8" s="50">
        <v>4</v>
      </c>
      <c r="C8" s="51" t="s">
        <v>16</v>
      </c>
      <c r="D8" s="51" t="s">
        <v>17</v>
      </c>
      <c r="E8" s="52">
        <v>4</v>
      </c>
      <c r="F8" s="111" t="s">
        <v>512</v>
      </c>
      <c r="G8" s="53" t="s">
        <v>508</v>
      </c>
      <c r="H8" s="53" t="s">
        <v>513</v>
      </c>
      <c r="I8" s="53" t="s">
        <v>514</v>
      </c>
      <c r="J8" s="53" t="s">
        <v>515</v>
      </c>
      <c r="K8" s="54"/>
      <c r="L8" s="54"/>
      <c r="M8" s="54"/>
      <c r="N8" s="110"/>
    </row>
    <row r="9" spans="1:14" ht="159" customHeight="1" x14ac:dyDescent="0.45">
      <c r="B9" s="50">
        <v>5</v>
      </c>
      <c r="C9" s="51" t="s">
        <v>16</v>
      </c>
      <c r="D9" s="51" t="s">
        <v>17</v>
      </c>
      <c r="E9" s="52">
        <v>5</v>
      </c>
      <c r="F9" s="111" t="s">
        <v>516</v>
      </c>
      <c r="G9" s="53" t="s">
        <v>508</v>
      </c>
      <c r="H9" s="53" t="s">
        <v>517</v>
      </c>
      <c r="I9" s="53" t="s">
        <v>514</v>
      </c>
      <c r="J9" s="53" t="s">
        <v>518</v>
      </c>
      <c r="K9" s="54"/>
      <c r="L9" s="54"/>
      <c r="M9" s="54"/>
      <c r="N9" s="110"/>
    </row>
    <row r="10" spans="1:14" ht="155.25" customHeight="1" x14ac:dyDescent="0.45">
      <c r="B10" s="50">
        <v>6</v>
      </c>
      <c r="C10" s="51" t="s">
        <v>16</v>
      </c>
      <c r="D10" s="51" t="s">
        <v>26</v>
      </c>
      <c r="E10" s="52">
        <v>4</v>
      </c>
      <c r="F10" s="67" t="s">
        <v>531</v>
      </c>
      <c r="G10" s="53" t="s">
        <v>529</v>
      </c>
      <c r="H10" s="53" t="s">
        <v>532</v>
      </c>
      <c r="I10" s="53" t="s">
        <v>514</v>
      </c>
      <c r="J10" s="53" t="s">
        <v>533</v>
      </c>
      <c r="K10" s="51"/>
      <c r="L10" s="54"/>
      <c r="M10" s="71"/>
      <c r="N10" s="72"/>
    </row>
    <row r="11" spans="1:14" ht="160.5" customHeight="1" x14ac:dyDescent="0.45">
      <c r="B11" s="50">
        <v>7</v>
      </c>
      <c r="C11" s="51" t="s">
        <v>16</v>
      </c>
      <c r="D11" s="51" t="s">
        <v>103</v>
      </c>
      <c r="E11" s="52">
        <v>4</v>
      </c>
      <c r="F11" s="111" t="s">
        <v>519</v>
      </c>
      <c r="G11" s="53" t="s">
        <v>508</v>
      </c>
      <c r="H11" s="53" t="s">
        <v>520</v>
      </c>
      <c r="I11" s="53" t="s">
        <v>521</v>
      </c>
      <c r="J11" s="53" t="s">
        <v>515</v>
      </c>
      <c r="K11" s="51"/>
      <c r="L11" s="54"/>
      <c r="M11" s="71"/>
      <c r="N11" s="72"/>
    </row>
    <row r="12" spans="1:14" ht="154.5" customHeight="1" x14ac:dyDescent="0.45">
      <c r="B12" s="50">
        <v>8</v>
      </c>
      <c r="C12" s="51" t="s">
        <v>16</v>
      </c>
      <c r="D12" s="51" t="s">
        <v>103</v>
      </c>
      <c r="E12" s="52">
        <v>4</v>
      </c>
      <c r="F12" s="16" t="s">
        <v>522</v>
      </c>
      <c r="G12" s="16" t="s">
        <v>523</v>
      </c>
      <c r="H12" s="53"/>
      <c r="I12" s="16" t="s">
        <v>524</v>
      </c>
      <c r="J12" s="16" t="s">
        <v>525</v>
      </c>
      <c r="K12" s="54"/>
      <c r="L12" s="54"/>
      <c r="M12" s="54"/>
      <c r="N12" s="110"/>
    </row>
    <row r="13" spans="1:14" ht="147" customHeight="1" x14ac:dyDescent="0.45">
      <c r="B13" s="50">
        <v>9</v>
      </c>
      <c r="C13" s="51" t="s">
        <v>16</v>
      </c>
      <c r="D13" s="51" t="s">
        <v>26</v>
      </c>
      <c r="E13" s="52">
        <v>4</v>
      </c>
      <c r="F13" s="67" t="s">
        <v>542</v>
      </c>
      <c r="G13" s="67" t="s">
        <v>540</v>
      </c>
      <c r="H13" s="53" t="s">
        <v>543</v>
      </c>
      <c r="I13" s="53" t="s">
        <v>521</v>
      </c>
      <c r="J13" s="53" t="s">
        <v>544</v>
      </c>
      <c r="K13" s="51"/>
      <c r="L13" s="54"/>
      <c r="M13" s="71"/>
      <c r="N13" s="72"/>
    </row>
    <row r="14" spans="1:14" ht="154.5" customHeight="1" x14ac:dyDescent="0.45">
      <c r="B14" s="50">
        <v>10</v>
      </c>
      <c r="C14" s="51" t="s">
        <v>16</v>
      </c>
      <c r="D14" s="51" t="s">
        <v>26</v>
      </c>
      <c r="E14" s="52">
        <v>4</v>
      </c>
      <c r="F14" s="67" t="s">
        <v>539</v>
      </c>
      <c r="G14" s="67" t="s">
        <v>540</v>
      </c>
      <c r="H14" s="53" t="s">
        <v>541</v>
      </c>
      <c r="I14" s="53" t="s">
        <v>537</v>
      </c>
      <c r="J14" s="53" t="s">
        <v>518</v>
      </c>
      <c r="K14" s="51"/>
      <c r="L14" s="54"/>
      <c r="M14" s="71"/>
      <c r="N14" s="72"/>
    </row>
    <row r="15" spans="1:14" ht="150.75" customHeight="1" x14ac:dyDescent="0.45">
      <c r="B15" s="50">
        <v>11</v>
      </c>
      <c r="C15" s="51" t="s">
        <v>16</v>
      </c>
      <c r="D15" s="51" t="s">
        <v>26</v>
      </c>
      <c r="E15" s="52">
        <v>4</v>
      </c>
      <c r="F15" s="67" t="s">
        <v>536</v>
      </c>
      <c r="G15" s="71" t="s">
        <v>529</v>
      </c>
      <c r="H15" s="53"/>
      <c r="I15" s="53" t="s">
        <v>537</v>
      </c>
      <c r="J15" s="53" t="s">
        <v>538</v>
      </c>
      <c r="K15" s="51"/>
      <c r="L15" s="54"/>
      <c r="M15" s="71"/>
      <c r="N15" s="72"/>
    </row>
    <row r="16" spans="1:14" ht="132" customHeight="1" x14ac:dyDescent="0.45">
      <c r="B16" s="50">
        <v>12</v>
      </c>
      <c r="C16" s="51" t="s">
        <v>16</v>
      </c>
      <c r="D16" s="51" t="s">
        <v>26</v>
      </c>
      <c r="E16" s="52">
        <v>4</v>
      </c>
      <c r="F16" s="67" t="s">
        <v>1619</v>
      </c>
      <c r="G16" s="67" t="s">
        <v>540</v>
      </c>
      <c r="H16" s="53" t="s">
        <v>1621</v>
      </c>
      <c r="I16" s="53" t="s">
        <v>1620</v>
      </c>
      <c r="J16" s="53" t="s">
        <v>518</v>
      </c>
      <c r="K16" s="51"/>
      <c r="L16" s="54"/>
      <c r="M16" s="71"/>
      <c r="N16" s="72"/>
    </row>
    <row r="17" spans="2:14" ht="135" customHeight="1" x14ac:dyDescent="0.45">
      <c r="B17" s="50">
        <v>13</v>
      </c>
      <c r="C17" s="51" t="s">
        <v>16</v>
      </c>
      <c r="D17" s="51" t="s">
        <v>17</v>
      </c>
      <c r="E17" s="52">
        <v>4</v>
      </c>
      <c r="F17" s="111" t="s">
        <v>545</v>
      </c>
      <c r="G17" s="53" t="s">
        <v>546</v>
      </c>
      <c r="H17" s="53" t="s">
        <v>547</v>
      </c>
      <c r="I17" s="53" t="s">
        <v>514</v>
      </c>
      <c r="J17" s="53" t="s">
        <v>548</v>
      </c>
      <c r="K17" s="51"/>
      <c r="L17" s="54"/>
      <c r="M17" s="71"/>
      <c r="N17" s="72"/>
    </row>
    <row r="18" spans="2:14" ht="150.75" customHeight="1" x14ac:dyDescent="0.45">
      <c r="B18" s="50">
        <v>14</v>
      </c>
      <c r="C18" s="51" t="s">
        <v>16</v>
      </c>
      <c r="D18" s="51" t="s">
        <v>103</v>
      </c>
      <c r="E18" s="52">
        <v>4</v>
      </c>
      <c r="F18" s="67" t="s">
        <v>549</v>
      </c>
      <c r="G18" s="53" t="s">
        <v>540</v>
      </c>
      <c r="H18" s="53" t="s">
        <v>550</v>
      </c>
      <c r="I18" s="53" t="s">
        <v>514</v>
      </c>
      <c r="J18" s="53" t="s">
        <v>551</v>
      </c>
      <c r="K18" s="51"/>
      <c r="L18" s="54"/>
      <c r="M18" s="71"/>
      <c r="N18" s="72"/>
    </row>
    <row r="19" spans="2:14" ht="134.25" customHeight="1" x14ac:dyDescent="0.45">
      <c r="B19" s="50">
        <v>15</v>
      </c>
      <c r="C19" s="51" t="s">
        <v>16</v>
      </c>
      <c r="D19" s="51" t="s">
        <v>103</v>
      </c>
      <c r="E19" s="52">
        <v>3</v>
      </c>
      <c r="F19" s="67" t="s">
        <v>526</v>
      </c>
      <c r="G19" s="53" t="s">
        <v>307</v>
      </c>
      <c r="H19" s="53"/>
      <c r="I19" s="53" t="s">
        <v>527</v>
      </c>
      <c r="J19" s="53" t="s">
        <v>528</v>
      </c>
      <c r="K19" s="51"/>
      <c r="L19" s="54"/>
      <c r="M19" s="71"/>
      <c r="N19" s="72"/>
    </row>
    <row r="20" spans="2:14" ht="147.75" customHeight="1" thickBot="1" x14ac:dyDescent="0.5">
      <c r="B20" s="59">
        <v>16</v>
      </c>
      <c r="C20" s="60" t="s">
        <v>16</v>
      </c>
      <c r="D20" s="60" t="s">
        <v>103</v>
      </c>
      <c r="E20" s="61">
        <v>5</v>
      </c>
      <c r="F20" s="62" t="s">
        <v>57</v>
      </c>
      <c r="G20" s="62"/>
      <c r="H20" s="62"/>
      <c r="I20" s="62" t="s">
        <v>59</v>
      </c>
      <c r="J20" s="62" t="s">
        <v>60</v>
      </c>
      <c r="K20" s="62"/>
      <c r="L20" s="63"/>
      <c r="M20" s="62"/>
      <c r="N20" s="64"/>
    </row>
    <row r="21" spans="2:14" ht="74.25" customHeight="1" x14ac:dyDescent="0.45"/>
    <row r="22" spans="2:14" ht="15.75" customHeight="1" x14ac:dyDescent="0.45"/>
    <row r="23" spans="2:14" ht="15.75" customHeight="1" x14ac:dyDescent="0.45"/>
  </sheetData>
  <mergeCells count="3">
    <mergeCell ref="F3:M3"/>
    <mergeCell ref="B2:M2"/>
    <mergeCell ref="B3:C3"/>
  </mergeCells>
  <conditionalFormatting sqref="K5:K6 K8:K9 K11:K12">
    <cfRule type="cellIs" dxfId="361" priority="17" operator="equal">
      <formula>"Pass"</formula>
    </cfRule>
    <cfRule type="cellIs" dxfId="360" priority="20" operator="equal">
      <formula>"Fail"</formula>
    </cfRule>
    <cfRule type="cellIs" dxfId="359" priority="21" operator="equal">
      <formula>"Pass"</formula>
    </cfRule>
    <cfRule type="cellIs" dxfId="358" priority="113" operator="equal">
      <formula>"Not Tested"</formula>
    </cfRule>
    <cfRule type="cellIs" dxfId="357" priority="114" operator="equal">
      <formula>"Not Applicable"</formula>
    </cfRule>
    <cfRule type="cellIs" dxfId="356" priority="116" operator="equal">
      <formula>"Not Tested"</formula>
    </cfRule>
    <cfRule type="cellIs" dxfId="355" priority="117" operator="equal">
      <formula>"Not Applicable"</formula>
    </cfRule>
  </conditionalFormatting>
  <conditionalFormatting sqref="K6 K8:K9 K11:K12">
    <cfRule type="cellIs" dxfId="354" priority="46" operator="equal">
      <formula>"Not Tested"</formula>
    </cfRule>
    <cfRule type="cellIs" dxfId="353" priority="47" operator="equal">
      <formula>"Not Applicable"</formula>
    </cfRule>
  </conditionalFormatting>
  <conditionalFormatting sqref="K8:K9 K6 K11:K12">
    <cfRule type="cellIs" dxfId="352" priority="43" operator="equal">
      <formula>"Not Tested"</formula>
    </cfRule>
    <cfRule type="cellIs" dxfId="351" priority="44" operator="equal">
      <formula>"Not Applicable"</formula>
    </cfRule>
  </conditionalFormatting>
  <conditionalFormatting sqref="K8:K9">
    <cfRule type="cellIs" dxfId="350" priority="15" operator="equal">
      <formula>"Not Tested"</formula>
    </cfRule>
    <cfRule type="cellIs" dxfId="349" priority="16" operator="equal">
      <formula>"Not Applicable"</formula>
    </cfRule>
    <cfRule type="cellIs" dxfId="348" priority="18" operator="equal">
      <formula>"Not Tested"</formula>
    </cfRule>
    <cfRule type="cellIs" dxfId="347" priority="19" operator="equal">
      <formula>"Not Applicable"</formula>
    </cfRule>
  </conditionalFormatting>
  <conditionalFormatting sqref="L5:L20">
    <cfRule type="cellIs" dxfId="346" priority="1" operator="equal">
      <formula>"Cancelled"</formula>
    </cfRule>
    <cfRule type="cellIs" dxfId="345" priority="2" operator="equal">
      <formula>"N/A"</formula>
    </cfRule>
    <cfRule type="cellIs" dxfId="344" priority="3" operator="equal">
      <formula>"Pass"</formula>
    </cfRule>
    <cfRule type="cellIs" dxfId="343" priority="4" operator="equal">
      <formula>"In-Progress"</formula>
    </cfRule>
    <cfRule type="cellIs" dxfId="342" priority="5" operator="equal">
      <formula>"Blocked"</formula>
    </cfRule>
    <cfRule type="cellIs" dxfId="341" priority="6" operator="equal">
      <formula>"Fail"</formula>
    </cfRule>
    <cfRule type="cellIs" dxfId="340" priority="7" operator="equal">
      <formula>"Pass"</formula>
    </cfRule>
  </conditionalFormatting>
  <dataValidations count="1">
    <dataValidation type="list" allowBlank="1" showInputMessage="1" showErrorMessage="1" sqref="L19 L5:L18 L20" xr:uid="{00000000-0002-0000-08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N23"/>
  <sheetViews>
    <sheetView topLeftCell="A15" zoomScale="70" zoomScaleNormal="70" workbookViewId="0">
      <selection activeCell="H9" sqref="H9"/>
    </sheetView>
  </sheetViews>
  <sheetFormatPr defaultColWidth="8.7265625" defaultRowHeight="15.5" x14ac:dyDescent="0.45"/>
  <cols>
    <col min="1" max="1" width="8.7265625" style="2" customWidth="1"/>
    <col min="2" max="2" width="10.26953125" style="2" customWidth="1"/>
    <col min="3" max="3" width="15.1796875" style="8" customWidth="1"/>
    <col min="4" max="4" width="14.54296875" style="2" customWidth="1"/>
    <col min="5" max="5" width="11.26953125" style="36" customWidth="1"/>
    <col min="6" max="6" width="55.54296875" style="2" customWidth="1"/>
    <col min="7" max="7" width="50.453125" style="2" customWidth="1"/>
    <col min="8" max="8" width="56.453125" style="2" customWidth="1"/>
    <col min="9" max="9" width="56.26953125" style="1" customWidth="1"/>
    <col min="10" max="10" width="54.1796875" style="1" customWidth="1"/>
    <col min="11" max="11" width="13.1796875" style="1" customWidth="1"/>
    <col min="12" max="12" width="19.453125" style="2" customWidth="1"/>
    <col min="13" max="13" width="18.81640625" style="2" customWidth="1"/>
    <col min="14" max="14" width="17.54296875" style="2" customWidth="1"/>
    <col min="15" max="61" width="8.7265625" style="2" customWidth="1"/>
    <col min="62" max="16384" width="8.7265625" style="2"/>
  </cols>
  <sheetData>
    <row r="1" spans="1:14" ht="16.5" customHeight="1" thickBot="1" x14ac:dyDescent="0.5"/>
    <row r="2" spans="1:14" ht="29.25" customHeight="1" thickBot="1" x14ac:dyDescent="0.5">
      <c r="B2" s="226" t="s">
        <v>552</v>
      </c>
      <c r="C2" s="227"/>
      <c r="D2" s="227"/>
      <c r="E2" s="227"/>
      <c r="F2" s="227"/>
      <c r="G2" s="227"/>
      <c r="H2" s="227"/>
      <c r="I2" s="227"/>
      <c r="J2" s="227"/>
      <c r="K2" s="227"/>
      <c r="L2" s="227"/>
      <c r="M2" s="228"/>
    </row>
    <row r="3" spans="1:14" ht="16.5" customHeight="1" thickBot="1" x14ac:dyDescent="0.5">
      <c r="B3" s="229" t="s">
        <v>70</v>
      </c>
      <c r="C3" s="224"/>
      <c r="D3" s="68"/>
      <c r="E3" s="69"/>
      <c r="F3" s="223" t="s">
        <v>553</v>
      </c>
      <c r="G3" s="224"/>
      <c r="H3" s="224"/>
      <c r="I3" s="224"/>
      <c r="J3" s="224"/>
      <c r="K3" s="224"/>
      <c r="L3" s="224"/>
      <c r="M3" s="225"/>
    </row>
    <row r="4" spans="1:14" ht="32.25" customHeight="1" thickBot="1" x14ac:dyDescent="0.5">
      <c r="A4"/>
      <c r="B4" s="123" t="s">
        <v>3</v>
      </c>
      <c r="C4" s="124" t="s">
        <v>4</v>
      </c>
      <c r="D4" s="124" t="s">
        <v>5</v>
      </c>
      <c r="E4" s="140" t="s">
        <v>6</v>
      </c>
      <c r="F4" s="124" t="s">
        <v>7</v>
      </c>
      <c r="G4" s="124" t="s">
        <v>8</v>
      </c>
      <c r="H4" s="124" t="s">
        <v>9</v>
      </c>
      <c r="I4" s="124" t="s">
        <v>10</v>
      </c>
      <c r="J4" s="124" t="s">
        <v>11</v>
      </c>
      <c r="K4" s="124" t="s">
        <v>12</v>
      </c>
      <c r="L4" s="124" t="s">
        <v>13</v>
      </c>
      <c r="M4" s="124" t="s">
        <v>14</v>
      </c>
      <c r="N4" s="126" t="s">
        <v>15</v>
      </c>
    </row>
    <row r="5" spans="1:14" ht="94.5" customHeight="1" x14ac:dyDescent="0.45">
      <c r="B5" s="127">
        <v>1</v>
      </c>
      <c r="C5" s="117" t="s">
        <v>164</v>
      </c>
      <c r="D5" s="117" t="s">
        <v>17</v>
      </c>
      <c r="E5" s="118">
        <v>2</v>
      </c>
      <c r="F5" s="119" t="s">
        <v>554</v>
      </c>
      <c r="G5" s="120" t="s">
        <v>307</v>
      </c>
      <c r="H5" s="53"/>
      <c r="I5" s="120" t="s">
        <v>555</v>
      </c>
      <c r="J5" s="120" t="s">
        <v>556</v>
      </c>
      <c r="K5" s="120"/>
      <c r="L5" s="121"/>
      <c r="M5" s="120"/>
      <c r="N5" s="122"/>
    </row>
    <row r="6" spans="1:14" ht="94.5" customHeight="1" x14ac:dyDescent="0.45">
      <c r="B6" s="50">
        <v>2</v>
      </c>
      <c r="C6" s="51" t="s">
        <v>164</v>
      </c>
      <c r="D6" s="51" t="s">
        <v>17</v>
      </c>
      <c r="E6" s="52">
        <v>5</v>
      </c>
      <c r="F6" s="79" t="s">
        <v>557</v>
      </c>
      <c r="G6" s="53" t="s">
        <v>307</v>
      </c>
      <c r="H6" s="53" t="s">
        <v>558</v>
      </c>
      <c r="I6" s="53" t="s">
        <v>559</v>
      </c>
      <c r="J6" s="53" t="s">
        <v>560</v>
      </c>
      <c r="K6" s="53"/>
      <c r="L6" s="54"/>
      <c r="M6" s="53"/>
      <c r="N6" s="55"/>
    </row>
    <row r="7" spans="1:14" ht="94.5" customHeight="1" x14ac:dyDescent="0.45">
      <c r="B7" s="50">
        <v>3</v>
      </c>
      <c r="C7" s="51" t="s">
        <v>164</v>
      </c>
      <c r="D7" s="51" t="s">
        <v>17</v>
      </c>
      <c r="E7" s="52">
        <v>5</v>
      </c>
      <c r="F7" s="79" t="s">
        <v>561</v>
      </c>
      <c r="G7" s="53" t="s">
        <v>307</v>
      </c>
      <c r="H7" s="53" t="s">
        <v>562</v>
      </c>
      <c r="I7" s="53" t="s">
        <v>563</v>
      </c>
      <c r="J7" s="53" t="s">
        <v>564</v>
      </c>
      <c r="K7" s="53"/>
      <c r="L7" s="54"/>
      <c r="M7" s="53"/>
      <c r="N7" s="55"/>
    </row>
    <row r="8" spans="1:14" ht="126" customHeight="1" x14ac:dyDescent="0.45">
      <c r="B8" s="50">
        <v>4</v>
      </c>
      <c r="C8" s="51" t="s">
        <v>164</v>
      </c>
      <c r="D8" s="51" t="s">
        <v>103</v>
      </c>
      <c r="E8" s="52">
        <v>5</v>
      </c>
      <c r="F8" s="79" t="s">
        <v>565</v>
      </c>
      <c r="G8" s="53" t="s">
        <v>307</v>
      </c>
      <c r="H8" s="53" t="s">
        <v>566</v>
      </c>
      <c r="I8" s="53" t="s">
        <v>567</v>
      </c>
      <c r="J8" s="53" t="s">
        <v>564</v>
      </c>
      <c r="K8" s="53"/>
      <c r="L8" s="54"/>
      <c r="M8" s="53"/>
      <c r="N8" s="55"/>
    </row>
    <row r="9" spans="1:14" ht="94.5" customHeight="1" x14ac:dyDescent="0.45">
      <c r="B9" s="50">
        <v>5</v>
      </c>
      <c r="C9" s="51" t="s">
        <v>164</v>
      </c>
      <c r="D9" s="51" t="s">
        <v>103</v>
      </c>
      <c r="E9" s="52">
        <v>5</v>
      </c>
      <c r="F9" s="79" t="s">
        <v>568</v>
      </c>
      <c r="G9" s="53" t="s">
        <v>307</v>
      </c>
      <c r="H9" s="53" t="s">
        <v>569</v>
      </c>
      <c r="I9" s="53" t="s">
        <v>570</v>
      </c>
      <c r="J9" s="53" t="s">
        <v>564</v>
      </c>
      <c r="K9" s="53"/>
      <c r="L9" s="54"/>
      <c r="M9" s="53"/>
      <c r="N9" s="55"/>
    </row>
    <row r="10" spans="1:14" ht="126" customHeight="1" x14ac:dyDescent="0.45">
      <c r="B10" s="50">
        <v>6</v>
      </c>
      <c r="C10" s="51" t="s">
        <v>164</v>
      </c>
      <c r="D10" s="51" t="s">
        <v>103</v>
      </c>
      <c r="E10" s="52">
        <v>5</v>
      </c>
      <c r="F10" s="79" t="s">
        <v>571</v>
      </c>
      <c r="G10" s="53" t="s">
        <v>307</v>
      </c>
      <c r="H10" s="53" t="s">
        <v>572</v>
      </c>
      <c r="I10" s="53" t="s">
        <v>573</v>
      </c>
      <c r="J10" s="53" t="s">
        <v>564</v>
      </c>
      <c r="K10" s="53"/>
      <c r="L10" s="54"/>
      <c r="M10" s="53"/>
      <c r="N10" s="55"/>
    </row>
    <row r="11" spans="1:14" ht="94.5" customHeight="1" x14ac:dyDescent="0.45">
      <c r="B11" s="50">
        <v>7</v>
      </c>
      <c r="C11" s="51" t="s">
        <v>164</v>
      </c>
      <c r="D11" s="51" t="s">
        <v>103</v>
      </c>
      <c r="E11" s="52">
        <v>5</v>
      </c>
      <c r="F11" s="79" t="s">
        <v>574</v>
      </c>
      <c r="G11" s="53" t="s">
        <v>307</v>
      </c>
      <c r="H11" s="53" t="s">
        <v>575</v>
      </c>
      <c r="I11" s="53" t="s">
        <v>576</v>
      </c>
      <c r="J11" s="53" t="s">
        <v>564</v>
      </c>
      <c r="K11" s="53"/>
      <c r="L11" s="54"/>
      <c r="M11" s="53"/>
      <c r="N11" s="55"/>
    </row>
    <row r="12" spans="1:14" ht="94.5" customHeight="1" x14ac:dyDescent="0.45">
      <c r="B12" s="50">
        <v>8</v>
      </c>
      <c r="C12" s="51" t="s">
        <v>164</v>
      </c>
      <c r="D12" s="51" t="s">
        <v>103</v>
      </c>
      <c r="E12" s="52">
        <v>5</v>
      </c>
      <c r="F12" s="79" t="s">
        <v>577</v>
      </c>
      <c r="G12" s="53" t="s">
        <v>307</v>
      </c>
      <c r="H12" s="53" t="s">
        <v>578</v>
      </c>
      <c r="I12" s="53" t="s">
        <v>579</v>
      </c>
      <c r="J12" s="53" t="s">
        <v>580</v>
      </c>
      <c r="K12" s="53"/>
      <c r="L12" s="54"/>
      <c r="M12" s="53"/>
      <c r="N12" s="55"/>
    </row>
    <row r="13" spans="1:14" ht="94.5" customHeight="1" x14ac:dyDescent="0.45">
      <c r="B13" s="50">
        <v>9</v>
      </c>
      <c r="C13" s="51" t="s">
        <v>164</v>
      </c>
      <c r="D13" s="51" t="s">
        <v>17</v>
      </c>
      <c r="E13" s="52">
        <v>5</v>
      </c>
      <c r="F13" s="79" t="s">
        <v>581</v>
      </c>
      <c r="G13" s="53" t="s">
        <v>307</v>
      </c>
      <c r="H13" s="53" t="s">
        <v>582</v>
      </c>
      <c r="I13" s="77" t="s">
        <v>583</v>
      </c>
      <c r="J13" s="53" t="s">
        <v>584</v>
      </c>
      <c r="K13" s="53"/>
      <c r="L13" s="54"/>
      <c r="M13" s="53"/>
      <c r="N13" s="55"/>
    </row>
    <row r="14" spans="1:14" ht="94.5" customHeight="1" x14ac:dyDescent="0.45">
      <c r="B14" s="50">
        <v>10</v>
      </c>
      <c r="C14" s="51" t="s">
        <v>164</v>
      </c>
      <c r="D14" s="51" t="s">
        <v>17</v>
      </c>
      <c r="E14" s="52">
        <v>5</v>
      </c>
      <c r="F14" s="79" t="s">
        <v>585</v>
      </c>
      <c r="G14" s="53" t="s">
        <v>307</v>
      </c>
      <c r="H14" s="53" t="s">
        <v>586</v>
      </c>
      <c r="I14" s="53" t="s">
        <v>587</v>
      </c>
      <c r="J14" s="53" t="s">
        <v>588</v>
      </c>
      <c r="K14" s="53"/>
      <c r="L14" s="54"/>
      <c r="M14" s="53"/>
      <c r="N14" s="55"/>
    </row>
    <row r="15" spans="1:14" ht="94.5" customHeight="1" x14ac:dyDescent="0.45">
      <c r="B15" s="50">
        <v>11</v>
      </c>
      <c r="C15" s="51" t="s">
        <v>164</v>
      </c>
      <c r="D15" s="51" t="s">
        <v>17</v>
      </c>
      <c r="E15" s="52">
        <v>5</v>
      </c>
      <c r="F15" s="79" t="s">
        <v>589</v>
      </c>
      <c r="G15" s="53" t="s">
        <v>307</v>
      </c>
      <c r="H15" s="53" t="s">
        <v>590</v>
      </c>
      <c r="I15" s="53" t="s">
        <v>591</v>
      </c>
      <c r="J15" s="53" t="s">
        <v>592</v>
      </c>
      <c r="K15" s="53"/>
      <c r="L15" s="54"/>
      <c r="M15" s="53"/>
      <c r="N15" s="55"/>
    </row>
    <row r="16" spans="1:14" ht="126" customHeight="1" x14ac:dyDescent="0.45">
      <c r="B16" s="50">
        <v>12</v>
      </c>
      <c r="C16" s="51" t="s">
        <v>164</v>
      </c>
      <c r="D16" s="51" t="s">
        <v>103</v>
      </c>
      <c r="E16" s="52">
        <v>5</v>
      </c>
      <c r="F16" s="79" t="s">
        <v>593</v>
      </c>
      <c r="G16" s="53" t="s">
        <v>307</v>
      </c>
      <c r="H16" s="53" t="s">
        <v>594</v>
      </c>
      <c r="I16" s="53" t="s">
        <v>595</v>
      </c>
      <c r="J16" s="53" t="s">
        <v>592</v>
      </c>
      <c r="K16" s="53"/>
      <c r="L16" s="54"/>
      <c r="M16" s="53"/>
      <c r="N16" s="55"/>
    </row>
    <row r="17" spans="2:14" ht="94.5" customHeight="1" x14ac:dyDescent="0.45">
      <c r="B17" s="50">
        <v>13</v>
      </c>
      <c r="C17" s="51" t="s">
        <v>164</v>
      </c>
      <c r="D17" s="51" t="s">
        <v>103</v>
      </c>
      <c r="E17" s="52">
        <v>5</v>
      </c>
      <c r="F17" s="79" t="s">
        <v>596</v>
      </c>
      <c r="G17" s="53" t="s">
        <v>307</v>
      </c>
      <c r="H17" s="53" t="s">
        <v>597</v>
      </c>
      <c r="I17" s="53" t="s">
        <v>598</v>
      </c>
      <c r="J17" s="53" t="s">
        <v>592</v>
      </c>
      <c r="K17" s="53"/>
      <c r="L17" s="54"/>
      <c r="M17" s="53"/>
      <c r="N17" s="55"/>
    </row>
    <row r="18" spans="2:14" ht="126" customHeight="1" x14ac:dyDescent="0.45">
      <c r="B18" s="50">
        <v>14</v>
      </c>
      <c r="C18" s="51" t="s">
        <v>164</v>
      </c>
      <c r="D18" s="51" t="s">
        <v>103</v>
      </c>
      <c r="E18" s="52">
        <v>5</v>
      </c>
      <c r="F18" s="79" t="s">
        <v>599</v>
      </c>
      <c r="G18" s="53" t="s">
        <v>307</v>
      </c>
      <c r="H18" s="53" t="s">
        <v>600</v>
      </c>
      <c r="I18" s="53" t="s">
        <v>601</v>
      </c>
      <c r="J18" s="53" t="s">
        <v>592</v>
      </c>
      <c r="K18" s="53"/>
      <c r="L18" s="54"/>
      <c r="M18" s="53"/>
      <c r="N18" s="55"/>
    </row>
    <row r="19" spans="2:14" ht="94.5" customHeight="1" x14ac:dyDescent="0.45">
      <c r="B19" s="50">
        <v>15</v>
      </c>
      <c r="C19" s="51" t="s">
        <v>164</v>
      </c>
      <c r="D19" s="51" t="s">
        <v>103</v>
      </c>
      <c r="E19" s="52">
        <v>5</v>
      </c>
      <c r="F19" s="79" t="s">
        <v>602</v>
      </c>
      <c r="G19" s="53" t="s">
        <v>307</v>
      </c>
      <c r="H19" s="53" t="s">
        <v>603</v>
      </c>
      <c r="I19" s="53" t="s">
        <v>604</v>
      </c>
      <c r="J19" s="53" t="s">
        <v>592</v>
      </c>
      <c r="K19" s="53"/>
      <c r="L19" s="54"/>
      <c r="M19" s="53"/>
      <c r="N19" s="55"/>
    </row>
    <row r="20" spans="2:14" ht="94.5" customHeight="1" x14ac:dyDescent="0.45">
      <c r="B20" s="50">
        <v>16</v>
      </c>
      <c r="C20" s="51" t="s">
        <v>164</v>
      </c>
      <c r="D20" s="51" t="s">
        <v>103</v>
      </c>
      <c r="E20" s="52">
        <v>5</v>
      </c>
      <c r="F20" s="79" t="s">
        <v>605</v>
      </c>
      <c r="G20" s="53" t="s">
        <v>307</v>
      </c>
      <c r="H20" s="53" t="s">
        <v>606</v>
      </c>
      <c r="I20" s="53" t="s">
        <v>607</v>
      </c>
      <c r="J20" s="53" t="s">
        <v>608</v>
      </c>
      <c r="K20" s="53"/>
      <c r="L20" s="54"/>
      <c r="M20" s="53"/>
      <c r="N20" s="55"/>
    </row>
    <row r="21" spans="2:14" ht="94.5" customHeight="1" x14ac:dyDescent="0.45">
      <c r="B21" s="50">
        <v>17</v>
      </c>
      <c r="C21" s="51" t="s">
        <v>164</v>
      </c>
      <c r="D21" s="51" t="s">
        <v>17</v>
      </c>
      <c r="E21" s="52">
        <v>5</v>
      </c>
      <c r="F21" s="79" t="s">
        <v>609</v>
      </c>
      <c r="G21" s="53" t="s">
        <v>307</v>
      </c>
      <c r="H21" s="53" t="s">
        <v>582</v>
      </c>
      <c r="I21" s="53" t="s">
        <v>610</v>
      </c>
      <c r="J21" s="53" t="s">
        <v>611</v>
      </c>
      <c r="K21" s="53"/>
      <c r="L21" s="54"/>
      <c r="M21" s="53"/>
      <c r="N21" s="55"/>
    </row>
    <row r="22" spans="2:14" ht="32.25" customHeight="1" thickBot="1" x14ac:dyDescent="0.5">
      <c r="B22" s="59">
        <v>18</v>
      </c>
      <c r="C22" s="60" t="s">
        <v>164</v>
      </c>
      <c r="D22" s="60" t="s">
        <v>103</v>
      </c>
      <c r="E22" s="61">
        <v>5</v>
      </c>
      <c r="F22" s="62" t="s">
        <v>57</v>
      </c>
      <c r="G22" s="62" t="s">
        <v>68</v>
      </c>
      <c r="H22" s="53"/>
      <c r="I22" s="62" t="s">
        <v>59</v>
      </c>
      <c r="J22" s="62" t="s">
        <v>60</v>
      </c>
      <c r="K22" s="62"/>
      <c r="L22" s="63"/>
      <c r="M22" s="62"/>
      <c r="N22" s="64"/>
    </row>
    <row r="23" spans="2:14" x14ac:dyDescent="0.45">
      <c r="F23" s="40"/>
      <c r="G23" s="40"/>
      <c r="H23" s="40"/>
      <c r="I23" s="40"/>
      <c r="J23" s="40"/>
      <c r="K23" s="40"/>
      <c r="L23" s="40"/>
      <c r="M23" s="40"/>
    </row>
  </sheetData>
  <mergeCells count="3">
    <mergeCell ref="F3:M3"/>
    <mergeCell ref="B2:M2"/>
    <mergeCell ref="B3:C3"/>
  </mergeCells>
  <conditionalFormatting sqref="K5:K21">
    <cfRule type="cellIs" dxfId="339" priority="8" operator="equal">
      <formula>"Not Tested"</formula>
    </cfRule>
    <cfRule type="cellIs" dxfId="338" priority="9" operator="equal">
      <formula>"Not Applicable"</formula>
    </cfRule>
    <cfRule type="cellIs" dxfId="337" priority="10" operator="equal">
      <formula>"Pass"</formula>
    </cfRule>
    <cfRule type="cellIs" dxfId="336" priority="11" operator="equal">
      <formula>"Not Tested"</formula>
    </cfRule>
    <cfRule type="cellIs" dxfId="335" priority="12" operator="equal">
      <formula>"Not Applicable"</formula>
    </cfRule>
    <cfRule type="cellIs" dxfId="334" priority="13" operator="equal">
      <formula>"Fail"</formula>
    </cfRule>
    <cfRule type="cellIs" dxfId="333" priority="14" operator="equal">
      <formula>"Pass"</formula>
    </cfRule>
  </conditionalFormatting>
  <conditionalFormatting sqref="L5:L22">
    <cfRule type="cellIs" dxfId="332" priority="1" operator="equal">
      <formula>"Cancelled"</formula>
    </cfRule>
    <cfRule type="cellIs" dxfId="331" priority="2" operator="equal">
      <formula>"N/A"</formula>
    </cfRule>
    <cfRule type="cellIs" dxfId="330" priority="3" operator="equal">
      <formula>"Pass"</formula>
    </cfRule>
    <cfRule type="cellIs" dxfId="329" priority="4" operator="equal">
      <formula>"In-Progress"</formula>
    </cfRule>
    <cfRule type="cellIs" dxfId="328" priority="5" operator="equal">
      <formula>"Blocked"</formula>
    </cfRule>
    <cfRule type="cellIs" dxfId="327" priority="6" operator="equal">
      <formula>"Fail"</formula>
    </cfRule>
    <cfRule type="cellIs" dxfId="326" priority="7" operator="equal">
      <formula>"Pass"</formula>
    </cfRule>
  </conditionalFormatting>
  <dataValidations count="1">
    <dataValidation type="list" allowBlank="1" showInputMessage="1" showErrorMessage="1" sqref="L5:L22" xr:uid="{00000000-0002-0000-09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N17"/>
  <sheetViews>
    <sheetView topLeftCell="D11" zoomScale="70" zoomScaleNormal="70" workbookViewId="0">
      <selection activeCell="D13" sqref="D13"/>
    </sheetView>
  </sheetViews>
  <sheetFormatPr defaultColWidth="8.7265625" defaultRowHeight="14.5" x14ac:dyDescent="0.35"/>
  <cols>
    <col min="1" max="1" width="2.81640625" customWidth="1"/>
    <col min="2" max="2" width="6.1796875" style="12" customWidth="1"/>
    <col min="3" max="3" width="19" style="12" customWidth="1"/>
    <col min="4" max="4" width="24.81640625" style="12" customWidth="1"/>
    <col min="5" max="5" width="11.26953125" style="39" customWidth="1"/>
    <col min="6" max="6" width="34.1796875" customWidth="1"/>
    <col min="7" max="7" width="46.1796875" customWidth="1"/>
    <col min="8" max="8" width="39.7265625" customWidth="1"/>
    <col min="9" max="9" width="58.1796875" style="12" customWidth="1"/>
    <col min="10" max="10" width="61.26953125" style="12" customWidth="1"/>
    <col min="11" max="11" width="13.1796875" style="12" customWidth="1"/>
    <col min="12" max="12" width="19.453125" customWidth="1"/>
    <col min="13" max="13" width="18.81640625" customWidth="1"/>
    <col min="14" max="14" width="17.7265625" customWidth="1"/>
  </cols>
  <sheetData>
    <row r="1" spans="1:14" ht="16.5" customHeight="1" thickBot="1" x14ac:dyDescent="0.5">
      <c r="A1" s="2"/>
      <c r="B1" s="2"/>
      <c r="C1" s="1"/>
      <c r="D1" s="1"/>
      <c r="E1" s="38"/>
      <c r="F1" s="2"/>
      <c r="G1" s="2"/>
      <c r="H1" s="2"/>
      <c r="I1" s="1"/>
      <c r="J1" s="1"/>
      <c r="K1" s="1"/>
      <c r="L1" s="2"/>
    </row>
    <row r="2" spans="1:14" ht="29.25" customHeight="1" thickBot="1" x14ac:dyDescent="0.5">
      <c r="A2" s="2"/>
      <c r="B2" s="231" t="s">
        <v>612</v>
      </c>
      <c r="C2" s="227"/>
      <c r="D2" s="227"/>
      <c r="E2" s="227"/>
      <c r="F2" s="227"/>
      <c r="G2" s="227"/>
      <c r="H2" s="227"/>
      <c r="I2" s="227"/>
      <c r="J2" s="227"/>
      <c r="K2" s="227"/>
      <c r="L2" s="227"/>
      <c r="M2" s="232"/>
    </row>
    <row r="3" spans="1:14" ht="16.5" customHeight="1" thickBot="1" x14ac:dyDescent="0.5">
      <c r="A3" s="2"/>
      <c r="B3" s="233" t="s">
        <v>70</v>
      </c>
      <c r="C3" s="225"/>
      <c r="D3" s="47"/>
      <c r="E3" s="48"/>
      <c r="F3" s="223" t="s">
        <v>613</v>
      </c>
      <c r="G3" s="224"/>
      <c r="H3" s="224"/>
      <c r="I3" s="224"/>
      <c r="J3" s="224"/>
      <c r="K3" s="224"/>
      <c r="L3" s="224"/>
      <c r="M3" s="225"/>
    </row>
    <row r="4" spans="1:14" ht="32.25" customHeight="1" thickBot="1" x14ac:dyDescent="0.5">
      <c r="A4" s="2"/>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1:14" ht="94.5" customHeight="1" x14ac:dyDescent="0.45">
      <c r="A5" s="2"/>
      <c r="B5" s="127">
        <v>1</v>
      </c>
      <c r="C5" s="117" t="s">
        <v>614</v>
      </c>
      <c r="D5" s="117" t="s">
        <v>17</v>
      </c>
      <c r="E5" s="118">
        <v>2</v>
      </c>
      <c r="F5" s="120" t="s">
        <v>615</v>
      </c>
      <c r="G5" s="120" t="s">
        <v>616</v>
      </c>
      <c r="H5" s="53"/>
      <c r="I5" s="120" t="s">
        <v>617</v>
      </c>
      <c r="J5" s="120" t="s">
        <v>618</v>
      </c>
      <c r="K5" s="117"/>
      <c r="L5" s="121"/>
      <c r="M5" s="120"/>
      <c r="N5" s="172"/>
    </row>
    <row r="6" spans="1:14" ht="330.75" customHeight="1" x14ac:dyDescent="0.45">
      <c r="A6" s="2"/>
      <c r="B6" s="50">
        <v>2</v>
      </c>
      <c r="C6" s="51" t="s">
        <v>614</v>
      </c>
      <c r="D6" s="51" t="s">
        <v>17</v>
      </c>
      <c r="E6" s="52">
        <v>10</v>
      </c>
      <c r="F6" s="53" t="s">
        <v>619</v>
      </c>
      <c r="G6" s="53" t="s">
        <v>620</v>
      </c>
      <c r="H6" s="53"/>
      <c r="I6" s="53" t="s">
        <v>621</v>
      </c>
      <c r="J6" s="53" t="s">
        <v>622</v>
      </c>
      <c r="K6" s="51"/>
      <c r="L6" s="54"/>
      <c r="M6" s="53"/>
      <c r="N6" s="134"/>
    </row>
    <row r="7" spans="1:14" ht="299.25" customHeight="1" x14ac:dyDescent="0.45">
      <c r="A7" s="2"/>
      <c r="B7" s="50">
        <v>3</v>
      </c>
      <c r="C7" s="51" t="s">
        <v>614</v>
      </c>
      <c r="D7" s="51" t="s">
        <v>17</v>
      </c>
      <c r="E7" s="52">
        <v>4</v>
      </c>
      <c r="F7" s="53" t="s">
        <v>623</v>
      </c>
      <c r="G7" s="53" t="s">
        <v>624</v>
      </c>
      <c r="H7" s="53"/>
      <c r="I7" s="53" t="s">
        <v>625</v>
      </c>
      <c r="J7" s="53" t="s">
        <v>626</v>
      </c>
      <c r="K7" s="51"/>
      <c r="L7" s="54"/>
      <c r="M7" s="53"/>
      <c r="N7" s="135"/>
    </row>
    <row r="8" spans="1:14" ht="299.25" customHeight="1" x14ac:dyDescent="0.45">
      <c r="A8" s="2"/>
      <c r="B8" s="50">
        <v>4</v>
      </c>
      <c r="C8" s="51" t="s">
        <v>614</v>
      </c>
      <c r="D8" s="51" t="s">
        <v>17</v>
      </c>
      <c r="E8" s="52">
        <v>4</v>
      </c>
      <c r="F8" s="53" t="s">
        <v>627</v>
      </c>
      <c r="G8" s="53" t="s">
        <v>620</v>
      </c>
      <c r="H8" s="53"/>
      <c r="I8" s="53" t="s">
        <v>628</v>
      </c>
      <c r="J8" s="53" t="s">
        <v>629</v>
      </c>
      <c r="K8" s="51"/>
      <c r="L8" s="54"/>
      <c r="M8" s="53"/>
      <c r="N8" s="134"/>
    </row>
    <row r="9" spans="1:14" ht="283.5" customHeight="1" x14ac:dyDescent="0.45">
      <c r="A9" s="2"/>
      <c r="B9" s="50">
        <v>5</v>
      </c>
      <c r="C9" s="51" t="s">
        <v>614</v>
      </c>
      <c r="D9" s="51" t="s">
        <v>26</v>
      </c>
      <c r="E9" s="52">
        <v>4</v>
      </c>
      <c r="F9" s="53" t="s">
        <v>630</v>
      </c>
      <c r="G9" s="53" t="s">
        <v>631</v>
      </c>
      <c r="H9" s="53"/>
      <c r="I9" s="53" t="s">
        <v>632</v>
      </c>
      <c r="J9" s="53" t="s">
        <v>633</v>
      </c>
      <c r="K9" s="51"/>
      <c r="L9" s="54"/>
      <c r="M9" s="53"/>
      <c r="N9" s="134"/>
    </row>
    <row r="10" spans="1:14" ht="283.5" customHeight="1" x14ac:dyDescent="0.45">
      <c r="A10" s="2"/>
      <c r="B10" s="50">
        <v>6</v>
      </c>
      <c r="C10" s="51" t="s">
        <v>614</v>
      </c>
      <c r="D10" s="51" t="s">
        <v>26</v>
      </c>
      <c r="E10" s="52">
        <v>4</v>
      </c>
      <c r="F10" s="53" t="s">
        <v>634</v>
      </c>
      <c r="G10" s="53" t="s">
        <v>631</v>
      </c>
      <c r="H10" s="53"/>
      <c r="I10" s="53" t="s">
        <v>635</v>
      </c>
      <c r="J10" s="53" t="s">
        <v>636</v>
      </c>
      <c r="K10" s="51"/>
      <c r="L10" s="54"/>
      <c r="M10" s="53"/>
      <c r="N10" s="134"/>
    </row>
    <row r="11" spans="1:14" ht="283.5" customHeight="1" x14ac:dyDescent="0.45">
      <c r="A11" s="2"/>
      <c r="B11" s="50">
        <v>7</v>
      </c>
      <c r="C11" s="51" t="s">
        <v>614</v>
      </c>
      <c r="D11" s="51" t="s">
        <v>26</v>
      </c>
      <c r="E11" s="52">
        <v>4</v>
      </c>
      <c r="F11" s="53" t="s">
        <v>637</v>
      </c>
      <c r="G11" s="53" t="s">
        <v>631</v>
      </c>
      <c r="H11" s="53"/>
      <c r="I11" s="53" t="s">
        <v>638</v>
      </c>
      <c r="J11" s="53" t="s">
        <v>639</v>
      </c>
      <c r="K11" s="51"/>
      <c r="L11" s="54"/>
      <c r="M11" s="53"/>
      <c r="N11" s="134"/>
    </row>
    <row r="12" spans="1:14" ht="63" customHeight="1" x14ac:dyDescent="0.45">
      <c r="A12" s="2"/>
      <c r="B12" s="50">
        <v>8</v>
      </c>
      <c r="C12" s="51" t="s">
        <v>614</v>
      </c>
      <c r="D12" s="51" t="s">
        <v>26</v>
      </c>
      <c r="E12" s="52">
        <v>3</v>
      </c>
      <c r="F12" s="53" t="s">
        <v>640</v>
      </c>
      <c r="G12" s="53" t="s">
        <v>631</v>
      </c>
      <c r="H12" s="53"/>
      <c r="I12" s="53" t="s">
        <v>641</v>
      </c>
      <c r="J12" s="53" t="s">
        <v>642</v>
      </c>
      <c r="K12" s="51"/>
      <c r="L12" s="54"/>
      <c r="M12" s="53"/>
      <c r="N12" s="134"/>
    </row>
    <row r="13" spans="1:14" s="2" customFormat="1" ht="173.25" customHeight="1" x14ac:dyDescent="0.45">
      <c r="B13" s="50">
        <v>9</v>
      </c>
      <c r="C13" s="51" t="s">
        <v>614</v>
      </c>
      <c r="D13" s="51" t="s">
        <v>17</v>
      </c>
      <c r="E13" s="52">
        <v>5</v>
      </c>
      <c r="F13" s="190" t="s">
        <v>643</v>
      </c>
      <c r="G13" s="190" t="s">
        <v>644</v>
      </c>
      <c r="H13" s="53"/>
      <c r="I13" s="190" t="s">
        <v>645</v>
      </c>
      <c r="J13" s="53" t="s">
        <v>646</v>
      </c>
      <c r="K13" s="191"/>
      <c r="L13" s="54"/>
      <c r="M13" s="192"/>
      <c r="N13" s="134"/>
    </row>
    <row r="14" spans="1:14" ht="160.5" customHeight="1" x14ac:dyDescent="0.35"/>
    <row r="15" spans="1:14" ht="157.5" customHeight="1" x14ac:dyDescent="0.35"/>
    <row r="16" spans="1:14" s="42" customFormat="1" ht="126" customHeight="1" x14ac:dyDescent="0.35">
      <c r="B16" s="12"/>
      <c r="C16" s="12"/>
      <c r="D16" s="12"/>
      <c r="E16" s="39"/>
      <c r="I16" s="12"/>
      <c r="J16" s="12"/>
      <c r="K16" s="12"/>
    </row>
    <row r="17" spans="2:14" s="2" customFormat="1" ht="32.25" customHeight="1" x14ac:dyDescent="0.45">
      <c r="B17" s="12"/>
      <c r="C17" s="12"/>
      <c r="D17" s="12"/>
      <c r="E17" s="12"/>
      <c r="F17" s="12"/>
      <c r="G17" s="12"/>
      <c r="H17" s="12"/>
      <c r="I17" s="12"/>
      <c r="J17" s="12"/>
      <c r="K17" s="12"/>
      <c r="L17" s="12"/>
      <c r="M17" s="12"/>
      <c r="N17" s="12"/>
    </row>
  </sheetData>
  <mergeCells count="3">
    <mergeCell ref="F3:M3"/>
    <mergeCell ref="B2:M2"/>
    <mergeCell ref="B3:C3"/>
  </mergeCells>
  <conditionalFormatting sqref="K5:K13">
    <cfRule type="cellIs" dxfId="325" priority="8" operator="equal">
      <formula>"Not Tested"</formula>
    </cfRule>
    <cfRule type="cellIs" dxfId="324" priority="9" operator="equal">
      <formula>"Not Applicable"</formula>
    </cfRule>
    <cfRule type="cellIs" dxfId="323" priority="10" operator="equal">
      <formula>"Pass"</formula>
    </cfRule>
    <cfRule type="cellIs" dxfId="322" priority="11" operator="equal">
      <formula>"Not Tested"</formula>
    </cfRule>
    <cfRule type="cellIs" dxfId="321" priority="12" operator="equal">
      <formula>"Not Applicable"</formula>
    </cfRule>
    <cfRule type="cellIs" dxfId="320" priority="13" operator="equal">
      <formula>"Fail"</formula>
    </cfRule>
  </conditionalFormatting>
  <conditionalFormatting sqref="K5:L13">
    <cfRule type="cellIs" dxfId="319" priority="7" operator="equal">
      <formula>"Pass"</formula>
    </cfRule>
  </conditionalFormatting>
  <conditionalFormatting sqref="L5:L13">
    <cfRule type="cellIs" dxfId="318" priority="1" operator="equal">
      <formula>"Cancelled"</formula>
    </cfRule>
    <cfRule type="cellIs" dxfId="317" priority="2" operator="equal">
      <formula>"N/A"</formula>
    </cfRule>
    <cfRule type="cellIs" dxfId="316" priority="3" operator="equal">
      <formula>"Pass"</formula>
    </cfRule>
    <cfRule type="cellIs" dxfId="315" priority="4" operator="equal">
      <formula>"In-Progress"</formula>
    </cfRule>
    <cfRule type="cellIs" dxfId="314" priority="5" operator="equal">
      <formula>"Blocked"</formula>
    </cfRule>
    <cfRule type="cellIs" dxfId="313" priority="6" operator="equal">
      <formula>"Fail"</formula>
    </cfRule>
  </conditionalFormatting>
  <dataValidations count="1">
    <dataValidation type="list" allowBlank="1" showInputMessage="1" showErrorMessage="1" sqref="L5:L13" xr:uid="{00000000-0002-0000-0A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N30"/>
  <sheetViews>
    <sheetView topLeftCell="A27" zoomScale="80" zoomScaleNormal="80" workbookViewId="0">
      <selection activeCell="B29" sqref="B29"/>
    </sheetView>
  </sheetViews>
  <sheetFormatPr defaultColWidth="8.7265625" defaultRowHeight="14.5" x14ac:dyDescent="0.35"/>
  <cols>
    <col min="1" max="1" width="3" customWidth="1"/>
    <col min="2" max="2" width="7.1796875" style="12" bestFit="1" customWidth="1"/>
    <col min="3" max="3" width="22.453125" style="12" customWidth="1"/>
    <col min="4" max="4" width="9.81640625" style="12" customWidth="1"/>
    <col min="5" max="5" width="11.26953125" style="39" customWidth="1"/>
    <col min="6" max="6" width="52.1796875" customWidth="1"/>
    <col min="7" max="7" width="41.81640625" customWidth="1"/>
    <col min="8" max="8" width="45.81640625" customWidth="1"/>
    <col min="9" max="9" width="53.1796875" style="12" customWidth="1"/>
    <col min="10" max="10" width="47.1796875" style="12" customWidth="1"/>
    <col min="11" max="11" width="13.1796875" style="12" customWidth="1"/>
    <col min="12" max="12" width="19.453125" customWidth="1"/>
    <col min="13" max="13" width="18.81640625" customWidth="1"/>
    <col min="14" max="14" width="15.453125" customWidth="1"/>
  </cols>
  <sheetData>
    <row r="1" spans="1:14" ht="16.5" customHeight="1" thickBot="1" x14ac:dyDescent="0.5">
      <c r="A1" s="2"/>
      <c r="B1" s="2"/>
      <c r="C1" s="1"/>
      <c r="D1" s="1"/>
      <c r="E1" s="38"/>
      <c r="F1" s="2"/>
      <c r="G1" s="2"/>
      <c r="H1" s="2"/>
      <c r="I1" s="1"/>
      <c r="J1" s="1"/>
      <c r="K1" s="1"/>
      <c r="L1" s="2"/>
    </row>
    <row r="2" spans="1:14" ht="29.25" customHeight="1" thickBot="1" x14ac:dyDescent="0.5">
      <c r="A2" s="2"/>
      <c r="B2" s="231" t="s">
        <v>647</v>
      </c>
      <c r="C2" s="227"/>
      <c r="D2" s="227"/>
      <c r="E2" s="227"/>
      <c r="F2" s="227"/>
      <c r="G2" s="227"/>
      <c r="H2" s="227"/>
      <c r="I2" s="227"/>
      <c r="J2" s="227"/>
      <c r="K2" s="227"/>
      <c r="L2" s="227"/>
      <c r="M2" s="232"/>
    </row>
    <row r="3" spans="1:14" ht="16.5" customHeight="1" thickBot="1" x14ac:dyDescent="0.5">
      <c r="A3" s="2"/>
      <c r="B3" s="233" t="s">
        <v>70</v>
      </c>
      <c r="C3" s="225"/>
      <c r="D3" s="47"/>
      <c r="E3" s="48"/>
      <c r="F3" s="223" t="s">
        <v>648</v>
      </c>
      <c r="G3" s="224"/>
      <c r="H3" s="224"/>
      <c r="I3" s="224"/>
      <c r="J3" s="224"/>
      <c r="K3" s="224"/>
      <c r="L3" s="224"/>
      <c r="M3" s="225"/>
    </row>
    <row r="4" spans="1:14" ht="48" customHeight="1" thickBot="1" x14ac:dyDescent="0.5">
      <c r="A4" s="2"/>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1:14" ht="126" customHeight="1" x14ac:dyDescent="0.45">
      <c r="A5" s="2"/>
      <c r="B5" s="127">
        <v>1</v>
      </c>
      <c r="C5" s="117" t="s">
        <v>614</v>
      </c>
      <c r="D5" s="117" t="s">
        <v>103</v>
      </c>
      <c r="E5" s="118">
        <v>3</v>
      </c>
      <c r="F5" s="120" t="s">
        <v>649</v>
      </c>
      <c r="G5" s="120" t="s">
        <v>616</v>
      </c>
      <c r="H5" s="53"/>
      <c r="I5" s="120" t="s">
        <v>650</v>
      </c>
      <c r="J5" s="120" t="s">
        <v>651</v>
      </c>
      <c r="K5" s="117"/>
      <c r="L5" s="121"/>
      <c r="M5" s="120"/>
      <c r="N5" s="193"/>
    </row>
    <row r="6" spans="1:14" ht="126" customHeight="1" x14ac:dyDescent="0.45">
      <c r="A6" s="2"/>
      <c r="B6" s="50">
        <v>2</v>
      </c>
      <c r="C6" s="51" t="s">
        <v>614</v>
      </c>
      <c r="D6" s="51" t="s">
        <v>17</v>
      </c>
      <c r="E6" s="52">
        <v>2</v>
      </c>
      <c r="F6" s="79" t="s">
        <v>652</v>
      </c>
      <c r="G6" s="53" t="s">
        <v>616</v>
      </c>
      <c r="H6" s="53"/>
      <c r="I6" s="53" t="s">
        <v>653</v>
      </c>
      <c r="J6" s="53" t="s">
        <v>654</v>
      </c>
      <c r="K6" s="51"/>
      <c r="L6" s="54"/>
      <c r="M6" s="53"/>
      <c r="N6" s="134"/>
    </row>
    <row r="7" spans="1:14" ht="252" customHeight="1" x14ac:dyDescent="0.45">
      <c r="A7" s="2"/>
      <c r="B7" s="50">
        <v>3</v>
      </c>
      <c r="C7" s="51" t="s">
        <v>614</v>
      </c>
      <c r="D7" s="51" t="s">
        <v>17</v>
      </c>
      <c r="E7" s="52">
        <v>5</v>
      </c>
      <c r="F7" s="79" t="s">
        <v>655</v>
      </c>
      <c r="G7" s="53" t="s">
        <v>656</v>
      </c>
      <c r="H7" s="53"/>
      <c r="I7" s="53" t="s">
        <v>657</v>
      </c>
      <c r="J7" s="53" t="s">
        <v>658</v>
      </c>
      <c r="K7" s="51"/>
      <c r="L7" s="54"/>
      <c r="M7" s="53"/>
      <c r="N7" s="72"/>
    </row>
    <row r="8" spans="1:14" ht="204.75" customHeight="1" x14ac:dyDescent="0.45">
      <c r="A8" s="2"/>
      <c r="B8" s="50">
        <v>4</v>
      </c>
      <c r="C8" s="51" t="s">
        <v>614</v>
      </c>
      <c r="D8" s="51" t="s">
        <v>17</v>
      </c>
      <c r="E8" s="52">
        <v>5</v>
      </c>
      <c r="F8" s="79" t="s">
        <v>659</v>
      </c>
      <c r="G8" s="53" t="s">
        <v>660</v>
      </c>
      <c r="H8" s="53"/>
      <c r="I8" s="53" t="s">
        <v>661</v>
      </c>
      <c r="J8" s="53" t="s">
        <v>662</v>
      </c>
      <c r="K8" s="51"/>
      <c r="L8" s="54"/>
      <c r="M8" s="53"/>
      <c r="N8" s="72"/>
    </row>
    <row r="9" spans="1:14" ht="160.5" customHeight="1" x14ac:dyDescent="0.45">
      <c r="A9" s="2"/>
      <c r="B9" s="50">
        <v>5</v>
      </c>
      <c r="C9" s="51" t="s">
        <v>614</v>
      </c>
      <c r="D9" s="51" t="s">
        <v>17</v>
      </c>
      <c r="E9" s="52">
        <v>5</v>
      </c>
      <c r="F9" s="79" t="s">
        <v>663</v>
      </c>
      <c r="G9" s="53" t="s">
        <v>664</v>
      </c>
      <c r="H9" s="53"/>
      <c r="I9" s="53" t="s">
        <v>665</v>
      </c>
      <c r="J9" s="53" t="s">
        <v>666</v>
      </c>
      <c r="K9" s="51"/>
      <c r="L9" s="54"/>
      <c r="M9" s="53"/>
      <c r="N9" s="72"/>
    </row>
    <row r="10" spans="1:14" ht="409.5" customHeight="1" x14ac:dyDescent="0.45">
      <c r="A10" s="2"/>
      <c r="B10" s="50">
        <v>6</v>
      </c>
      <c r="C10" s="51" t="s">
        <v>614</v>
      </c>
      <c r="D10" s="51" t="s">
        <v>17</v>
      </c>
      <c r="E10" s="52">
        <v>5</v>
      </c>
      <c r="F10" s="79" t="s">
        <v>667</v>
      </c>
      <c r="G10" s="53" t="s">
        <v>668</v>
      </c>
      <c r="H10" s="53"/>
      <c r="I10" s="53" t="s">
        <v>669</v>
      </c>
      <c r="J10" s="53" t="s">
        <v>670</v>
      </c>
      <c r="K10" s="51"/>
      <c r="L10" s="54"/>
      <c r="M10" s="53"/>
      <c r="N10" s="72"/>
    </row>
    <row r="11" spans="1:14" ht="409.5" customHeight="1" x14ac:dyDescent="0.45">
      <c r="A11" s="2"/>
      <c r="B11" s="50">
        <v>7</v>
      </c>
      <c r="C11" s="51" t="s">
        <v>614</v>
      </c>
      <c r="D11" s="51" t="s">
        <v>17</v>
      </c>
      <c r="E11" s="52">
        <v>5</v>
      </c>
      <c r="F11" s="79" t="s">
        <v>671</v>
      </c>
      <c r="G11" s="53" t="s">
        <v>672</v>
      </c>
      <c r="H11" s="53"/>
      <c r="I11" s="53" t="s">
        <v>673</v>
      </c>
      <c r="J11" s="53" t="s">
        <v>674</v>
      </c>
      <c r="K11" s="51"/>
      <c r="L11" s="54"/>
      <c r="M11" s="53"/>
      <c r="N11" s="72"/>
    </row>
    <row r="12" spans="1:14" ht="409.5" customHeight="1" x14ac:dyDescent="0.45">
      <c r="A12" s="2"/>
      <c r="B12" s="50">
        <v>8</v>
      </c>
      <c r="C12" s="51" t="s">
        <v>614</v>
      </c>
      <c r="D12" s="51" t="s">
        <v>103</v>
      </c>
      <c r="E12" s="52">
        <v>5</v>
      </c>
      <c r="F12" s="79" t="s">
        <v>675</v>
      </c>
      <c r="G12" s="53" t="s">
        <v>668</v>
      </c>
      <c r="H12" s="53"/>
      <c r="I12" s="53" t="s">
        <v>676</v>
      </c>
      <c r="J12" s="53" t="s">
        <v>677</v>
      </c>
      <c r="K12" s="51"/>
      <c r="L12" s="54"/>
      <c r="M12" s="53"/>
      <c r="N12" s="72"/>
    </row>
    <row r="13" spans="1:14" ht="409.5" customHeight="1" x14ac:dyDescent="0.45">
      <c r="A13" s="2"/>
      <c r="B13" s="50">
        <v>9</v>
      </c>
      <c r="C13" s="51" t="s">
        <v>614</v>
      </c>
      <c r="D13" s="51" t="s">
        <v>103</v>
      </c>
      <c r="E13" s="52">
        <v>5</v>
      </c>
      <c r="F13" s="79" t="s">
        <v>678</v>
      </c>
      <c r="G13" s="53" t="s">
        <v>668</v>
      </c>
      <c r="H13" s="53"/>
      <c r="I13" s="53" t="s">
        <v>679</v>
      </c>
      <c r="J13" s="53" t="s">
        <v>680</v>
      </c>
      <c r="K13" s="51"/>
      <c r="L13" s="54"/>
      <c r="M13" s="53"/>
      <c r="N13" s="72"/>
    </row>
    <row r="14" spans="1:14" ht="409.5" customHeight="1" x14ac:dyDescent="0.45">
      <c r="A14" s="2"/>
      <c r="B14" s="50">
        <v>10</v>
      </c>
      <c r="C14" s="51" t="s">
        <v>614</v>
      </c>
      <c r="D14" s="51" t="s">
        <v>103</v>
      </c>
      <c r="E14" s="52">
        <v>5</v>
      </c>
      <c r="F14" s="79" t="s">
        <v>681</v>
      </c>
      <c r="G14" s="53" t="s">
        <v>668</v>
      </c>
      <c r="H14" s="53"/>
      <c r="I14" s="53" t="s">
        <v>682</v>
      </c>
      <c r="J14" s="53" t="s">
        <v>683</v>
      </c>
      <c r="K14" s="51"/>
      <c r="L14" s="54"/>
      <c r="M14" s="53"/>
      <c r="N14" s="72"/>
    </row>
    <row r="15" spans="1:14" ht="409.5" customHeight="1" x14ac:dyDescent="0.45">
      <c r="A15" s="2"/>
      <c r="B15" s="50">
        <v>11</v>
      </c>
      <c r="C15" s="51" t="s">
        <v>614</v>
      </c>
      <c r="D15" s="51" t="s">
        <v>103</v>
      </c>
      <c r="E15" s="52">
        <v>5</v>
      </c>
      <c r="F15" s="79" t="s">
        <v>684</v>
      </c>
      <c r="G15" s="53" t="s">
        <v>672</v>
      </c>
      <c r="H15" s="53"/>
      <c r="I15" s="53" t="s">
        <v>685</v>
      </c>
      <c r="J15" s="53" t="s">
        <v>686</v>
      </c>
      <c r="K15" s="51"/>
      <c r="L15" s="54"/>
      <c r="M15" s="53"/>
      <c r="N15" s="72"/>
    </row>
    <row r="16" spans="1:14" ht="229.5" customHeight="1" x14ac:dyDescent="0.45">
      <c r="A16" s="2"/>
      <c r="B16" s="50">
        <v>12</v>
      </c>
      <c r="C16" s="51" t="s">
        <v>614</v>
      </c>
      <c r="D16" s="51" t="s">
        <v>17</v>
      </c>
      <c r="E16" s="52">
        <v>10</v>
      </c>
      <c r="F16" s="79" t="s">
        <v>687</v>
      </c>
      <c r="G16" s="53" t="s">
        <v>688</v>
      </c>
      <c r="H16" s="53" t="s">
        <v>689</v>
      </c>
      <c r="I16" s="53" t="s">
        <v>690</v>
      </c>
      <c r="J16" s="53" t="s">
        <v>691</v>
      </c>
      <c r="K16" s="51"/>
      <c r="L16" s="54"/>
      <c r="M16" s="53"/>
      <c r="N16" s="72"/>
    </row>
    <row r="17" spans="1:14" ht="204.75" customHeight="1" x14ac:dyDescent="0.45">
      <c r="A17" s="2"/>
      <c r="B17" s="50">
        <v>13</v>
      </c>
      <c r="C17" s="51" t="s">
        <v>614</v>
      </c>
      <c r="D17" s="51" t="s">
        <v>17</v>
      </c>
      <c r="E17" s="52">
        <v>5</v>
      </c>
      <c r="F17" s="79" t="s">
        <v>692</v>
      </c>
      <c r="G17" s="53" t="s">
        <v>693</v>
      </c>
      <c r="H17" s="53"/>
      <c r="I17" s="53" t="s">
        <v>694</v>
      </c>
      <c r="J17" s="53" t="s">
        <v>695</v>
      </c>
      <c r="K17" s="51"/>
      <c r="L17" s="54"/>
      <c r="M17" s="53"/>
      <c r="N17" s="72"/>
    </row>
    <row r="18" spans="1:14" ht="283.5" customHeight="1" x14ac:dyDescent="0.45">
      <c r="A18" s="2"/>
      <c r="B18" s="50">
        <v>14</v>
      </c>
      <c r="C18" s="51" t="s">
        <v>614</v>
      </c>
      <c r="D18" s="51" t="s">
        <v>17</v>
      </c>
      <c r="E18" s="52">
        <v>5</v>
      </c>
      <c r="F18" s="79" t="s">
        <v>696</v>
      </c>
      <c r="G18" s="53" t="s">
        <v>697</v>
      </c>
      <c r="H18" s="53"/>
      <c r="I18" s="53" t="s">
        <v>698</v>
      </c>
      <c r="J18" s="53" t="s">
        <v>699</v>
      </c>
      <c r="K18" s="51"/>
      <c r="L18" s="54"/>
      <c r="M18" s="53"/>
      <c r="N18" s="134"/>
    </row>
    <row r="19" spans="1:14" ht="409.5" customHeight="1" x14ac:dyDescent="0.45">
      <c r="A19" s="2"/>
      <c r="B19" s="50">
        <v>15</v>
      </c>
      <c r="C19" s="51" t="s">
        <v>614</v>
      </c>
      <c r="D19" s="51" t="s">
        <v>103</v>
      </c>
      <c r="E19" s="52">
        <v>10</v>
      </c>
      <c r="F19" s="79" t="s">
        <v>700</v>
      </c>
      <c r="G19" s="53" t="s">
        <v>701</v>
      </c>
      <c r="H19" s="53"/>
      <c r="I19" s="53" t="s">
        <v>702</v>
      </c>
      <c r="J19" s="53" t="s">
        <v>703</v>
      </c>
      <c r="K19" s="51"/>
      <c r="L19" s="54"/>
      <c r="M19" s="53"/>
      <c r="N19" s="134"/>
    </row>
    <row r="20" spans="1:14" ht="409.5" customHeight="1" x14ac:dyDescent="0.45">
      <c r="A20" s="2"/>
      <c r="B20" s="50">
        <v>16</v>
      </c>
      <c r="C20" s="51" t="s">
        <v>614</v>
      </c>
      <c r="D20" s="51" t="s">
        <v>17</v>
      </c>
      <c r="E20" s="52">
        <v>10</v>
      </c>
      <c r="F20" s="79" t="s">
        <v>704</v>
      </c>
      <c r="G20" s="53" t="s">
        <v>701</v>
      </c>
      <c r="H20" s="53" t="s">
        <v>705</v>
      </c>
      <c r="I20" s="53" t="s">
        <v>706</v>
      </c>
      <c r="J20" s="53" t="s">
        <v>707</v>
      </c>
      <c r="K20" s="51"/>
      <c r="L20" s="54"/>
      <c r="M20" s="53"/>
      <c r="N20" s="134"/>
    </row>
    <row r="21" spans="1:14" ht="346.5" customHeight="1" x14ac:dyDescent="0.35">
      <c r="B21" s="50">
        <v>17</v>
      </c>
      <c r="C21" s="51" t="s">
        <v>614</v>
      </c>
      <c r="D21" s="51" t="s">
        <v>26</v>
      </c>
      <c r="E21" s="52">
        <v>10</v>
      </c>
      <c r="F21" s="53" t="s">
        <v>708</v>
      </c>
      <c r="G21" s="53" t="s">
        <v>709</v>
      </c>
      <c r="H21" s="53" t="s">
        <v>710</v>
      </c>
      <c r="I21" s="53" t="s">
        <v>711</v>
      </c>
      <c r="J21" s="53" t="s">
        <v>712</v>
      </c>
      <c r="K21" s="51"/>
      <c r="L21" s="54"/>
      <c r="M21" s="53"/>
      <c r="N21" s="134"/>
    </row>
    <row r="22" spans="1:14" ht="409.5" customHeight="1" x14ac:dyDescent="0.35">
      <c r="B22" s="50">
        <v>18</v>
      </c>
      <c r="C22" s="51" t="s">
        <v>614</v>
      </c>
      <c r="D22" s="51" t="s">
        <v>26</v>
      </c>
      <c r="E22" s="52">
        <v>10</v>
      </c>
      <c r="F22" s="53" t="s">
        <v>713</v>
      </c>
      <c r="G22" s="53" t="s">
        <v>714</v>
      </c>
      <c r="H22" s="53"/>
      <c r="I22" s="53" t="s">
        <v>715</v>
      </c>
      <c r="J22" s="70" t="s">
        <v>716</v>
      </c>
      <c r="K22" s="51"/>
      <c r="L22" s="54"/>
      <c r="M22" s="53"/>
      <c r="N22" s="134"/>
    </row>
    <row r="23" spans="1:14" ht="409.5" customHeight="1" x14ac:dyDescent="0.35">
      <c r="B23" s="50">
        <v>19</v>
      </c>
      <c r="C23" s="51" t="s">
        <v>614</v>
      </c>
      <c r="D23" s="51" t="s">
        <v>26</v>
      </c>
      <c r="E23" s="52">
        <v>10</v>
      </c>
      <c r="F23" s="53" t="s">
        <v>717</v>
      </c>
      <c r="G23" s="53" t="s">
        <v>714</v>
      </c>
      <c r="H23" s="53"/>
      <c r="I23" s="53" t="s">
        <v>718</v>
      </c>
      <c r="J23" s="53" t="s">
        <v>719</v>
      </c>
      <c r="K23" s="51"/>
      <c r="L23" s="54"/>
      <c r="M23" s="53"/>
      <c r="N23" s="134"/>
    </row>
    <row r="24" spans="1:14" ht="126" customHeight="1" x14ac:dyDescent="0.35">
      <c r="B24" s="50">
        <v>20</v>
      </c>
      <c r="C24" s="51" t="s">
        <v>614</v>
      </c>
      <c r="D24" s="51" t="s">
        <v>26</v>
      </c>
      <c r="E24" s="52">
        <v>10</v>
      </c>
      <c r="F24" s="53" t="s">
        <v>720</v>
      </c>
      <c r="G24" s="53" t="s">
        <v>714</v>
      </c>
      <c r="H24" s="53"/>
      <c r="I24" s="53" t="s">
        <v>721</v>
      </c>
      <c r="J24" s="53" t="s">
        <v>722</v>
      </c>
      <c r="K24" s="51"/>
      <c r="L24" s="54"/>
      <c r="M24" s="53"/>
      <c r="N24" s="134"/>
    </row>
    <row r="25" spans="1:14" ht="409.5" customHeight="1" x14ac:dyDescent="0.35">
      <c r="B25" s="50">
        <v>21</v>
      </c>
      <c r="C25" s="51" t="s">
        <v>614</v>
      </c>
      <c r="D25" s="51" t="s">
        <v>26</v>
      </c>
      <c r="E25" s="52">
        <v>10</v>
      </c>
      <c r="F25" s="53" t="s">
        <v>723</v>
      </c>
      <c r="G25" s="53" t="s">
        <v>724</v>
      </c>
      <c r="H25" s="53"/>
      <c r="I25" s="53" t="s">
        <v>725</v>
      </c>
      <c r="J25" s="53" t="s">
        <v>726</v>
      </c>
      <c r="K25" s="51"/>
      <c r="L25" s="54"/>
      <c r="M25" s="53"/>
      <c r="N25" s="134"/>
    </row>
    <row r="26" spans="1:14" ht="181.5" customHeight="1" x14ac:dyDescent="0.35">
      <c r="B26" s="50">
        <v>22</v>
      </c>
      <c r="C26" s="51" t="s">
        <v>614</v>
      </c>
      <c r="D26" s="51" t="s">
        <v>103</v>
      </c>
      <c r="E26" s="52">
        <v>10</v>
      </c>
      <c r="F26" s="53" t="s">
        <v>727</v>
      </c>
      <c r="G26" s="53" t="s">
        <v>701</v>
      </c>
      <c r="H26" s="53"/>
      <c r="I26" s="53" t="s">
        <v>728</v>
      </c>
      <c r="J26" s="53" t="s">
        <v>729</v>
      </c>
      <c r="K26" s="51" t="s">
        <v>730</v>
      </c>
      <c r="L26" s="54"/>
      <c r="M26" s="53"/>
      <c r="N26" s="134" t="s">
        <v>730</v>
      </c>
    </row>
    <row r="27" spans="1:14" ht="283.5" customHeight="1" x14ac:dyDescent="0.35">
      <c r="B27" s="50">
        <v>23</v>
      </c>
      <c r="C27" s="51" t="s">
        <v>614</v>
      </c>
      <c r="D27" s="51" t="s">
        <v>103</v>
      </c>
      <c r="E27" s="52">
        <v>10</v>
      </c>
      <c r="F27" s="53" t="s">
        <v>731</v>
      </c>
      <c r="G27" s="53" t="s">
        <v>701</v>
      </c>
      <c r="H27" s="53"/>
      <c r="I27" s="53" t="s">
        <v>732</v>
      </c>
      <c r="J27" s="53" t="s">
        <v>733</v>
      </c>
      <c r="K27" s="137"/>
      <c r="L27" s="57"/>
      <c r="M27" s="56"/>
      <c r="N27" s="138"/>
    </row>
    <row r="28" spans="1:14" s="2" customFormat="1" ht="62.5" customHeight="1" thickBot="1" x14ac:dyDescent="0.5">
      <c r="B28" s="59">
        <v>24</v>
      </c>
      <c r="C28" s="60" t="s">
        <v>614</v>
      </c>
      <c r="D28" s="60" t="s">
        <v>103</v>
      </c>
      <c r="E28" s="61">
        <v>5</v>
      </c>
      <c r="F28" s="62" t="s">
        <v>735</v>
      </c>
      <c r="G28" s="62" t="s">
        <v>68</v>
      </c>
      <c r="H28" s="62"/>
      <c r="I28" s="62" t="s">
        <v>59</v>
      </c>
      <c r="J28" s="62" t="s">
        <v>60</v>
      </c>
      <c r="K28" s="60"/>
      <c r="L28" s="63"/>
      <c r="M28" s="62"/>
      <c r="N28" s="136"/>
    </row>
    <row r="29" spans="1:14" ht="53.25" customHeight="1" x14ac:dyDescent="0.35"/>
    <row r="30" spans="1:14" ht="16.5" customHeight="1" x14ac:dyDescent="0.35"/>
  </sheetData>
  <mergeCells count="3">
    <mergeCell ref="F3:M3"/>
    <mergeCell ref="B2:M2"/>
    <mergeCell ref="B3:C3"/>
  </mergeCells>
  <conditionalFormatting sqref="K5:K28">
    <cfRule type="cellIs" dxfId="312" priority="8" operator="equal">
      <formula>"Not Tested"</formula>
    </cfRule>
    <cfRule type="cellIs" dxfId="311" priority="9" operator="equal">
      <formula>"Not Applicable"</formula>
    </cfRule>
    <cfRule type="cellIs" dxfId="310" priority="10" operator="equal">
      <formula>"Pass"</formula>
    </cfRule>
    <cfRule type="cellIs" dxfId="309" priority="11" operator="equal">
      <formula>"Not Tested"</formula>
    </cfRule>
    <cfRule type="cellIs" dxfId="308" priority="12" operator="equal">
      <formula>"Not Applicable"</formula>
    </cfRule>
    <cfRule type="cellIs" dxfId="307" priority="13" operator="equal">
      <formula>"Fail"</formula>
    </cfRule>
  </conditionalFormatting>
  <conditionalFormatting sqref="K5:L28">
    <cfRule type="cellIs" dxfId="306" priority="7" operator="equal">
      <formula>"Pass"</formula>
    </cfRule>
  </conditionalFormatting>
  <conditionalFormatting sqref="L5:L28">
    <cfRule type="cellIs" dxfId="305" priority="1" operator="equal">
      <formula>"Cancelled"</formula>
    </cfRule>
    <cfRule type="cellIs" dxfId="304" priority="2" operator="equal">
      <formula>"N/A"</formula>
    </cfRule>
    <cfRule type="cellIs" dxfId="303" priority="3" operator="equal">
      <formula>"Pass"</formula>
    </cfRule>
    <cfRule type="cellIs" dxfId="302" priority="4" operator="equal">
      <formula>"In-Progress"</formula>
    </cfRule>
    <cfRule type="cellIs" dxfId="301" priority="5" operator="equal">
      <formula>"Blocked"</formula>
    </cfRule>
    <cfRule type="cellIs" dxfId="300" priority="6" operator="equal">
      <formula>"Fail"</formula>
    </cfRule>
  </conditionalFormatting>
  <dataValidations count="1">
    <dataValidation type="list" allowBlank="1" showInputMessage="1" showErrorMessage="1" sqref="L5:L25 L28" xr:uid="{00000000-0002-0000-0B00-000001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17"/>
  <sheetViews>
    <sheetView topLeftCell="F12" zoomScale="70" zoomScaleNormal="70" workbookViewId="0">
      <selection activeCell="G14" sqref="G14"/>
    </sheetView>
  </sheetViews>
  <sheetFormatPr defaultColWidth="8.7265625" defaultRowHeight="15.5" x14ac:dyDescent="0.45"/>
  <cols>
    <col min="1" max="1" width="2.453125" style="2" customWidth="1"/>
    <col min="2" max="2" width="6.1796875" style="2" customWidth="1"/>
    <col min="3" max="3" width="21.81640625" style="8" customWidth="1"/>
    <col min="4" max="4" width="18.453125" style="2" customWidth="1"/>
    <col min="5" max="5" width="11.26953125" style="36" customWidth="1"/>
    <col min="6" max="6" width="68.1796875" style="2" customWidth="1"/>
    <col min="7" max="7" width="43.7265625" style="2" customWidth="1"/>
    <col min="8" max="8" width="50.54296875" style="2" customWidth="1"/>
    <col min="9" max="9" width="56.81640625" style="1" customWidth="1"/>
    <col min="10" max="10" width="53.1796875" style="1" customWidth="1"/>
    <col min="11" max="11" width="13.1796875" style="1" customWidth="1"/>
    <col min="12" max="12" width="19.453125" style="2" customWidth="1"/>
    <col min="13" max="13" width="18.81640625" customWidth="1"/>
    <col min="14" max="14" width="16.81640625" style="2" customWidth="1"/>
    <col min="15" max="61" width="8.7265625" style="2" customWidth="1"/>
    <col min="62" max="16384" width="8.7265625" style="2"/>
  </cols>
  <sheetData>
    <row r="1" spans="1:14" ht="16.5" customHeight="1" thickBot="1" x14ac:dyDescent="0.5"/>
    <row r="2" spans="1:14" ht="29.25" customHeight="1" thickBot="1" x14ac:dyDescent="0.5">
      <c r="B2" s="239" t="s">
        <v>736</v>
      </c>
      <c r="C2" s="227"/>
      <c r="D2" s="227"/>
      <c r="E2" s="227"/>
      <c r="F2" s="227"/>
      <c r="G2" s="227"/>
      <c r="H2" s="227"/>
      <c r="I2" s="227"/>
      <c r="J2" s="227"/>
      <c r="K2" s="227"/>
      <c r="L2" s="227"/>
      <c r="M2" s="232"/>
    </row>
    <row r="3" spans="1:14" ht="16.5" customHeight="1" thickBot="1" x14ac:dyDescent="0.5">
      <c r="B3" s="240" t="s">
        <v>70</v>
      </c>
      <c r="C3" s="224"/>
      <c r="D3" s="31"/>
      <c r="E3" s="33"/>
      <c r="F3" s="238" t="s">
        <v>737</v>
      </c>
      <c r="G3" s="224"/>
      <c r="H3" s="224"/>
      <c r="I3" s="224"/>
      <c r="J3" s="224"/>
      <c r="K3" s="224"/>
      <c r="L3" s="224"/>
      <c r="M3" s="225"/>
    </row>
    <row r="4" spans="1:14" ht="16.5" customHeight="1" thickBot="1" x14ac:dyDescent="0.5">
      <c r="A4"/>
      <c r="B4" s="197" t="s">
        <v>3</v>
      </c>
      <c r="C4" s="19" t="s">
        <v>4</v>
      </c>
      <c r="D4" s="19" t="s">
        <v>5</v>
      </c>
      <c r="E4" s="198" t="s">
        <v>6</v>
      </c>
      <c r="F4" s="19" t="s">
        <v>7</v>
      </c>
      <c r="G4" s="19" t="s">
        <v>8</v>
      </c>
      <c r="H4" s="19" t="s">
        <v>9</v>
      </c>
      <c r="I4" s="19" t="s">
        <v>10</v>
      </c>
      <c r="J4" s="19" t="s">
        <v>11</v>
      </c>
      <c r="K4" s="19" t="s">
        <v>12</v>
      </c>
      <c r="L4" s="19" t="s">
        <v>13</v>
      </c>
      <c r="M4" s="19" t="s">
        <v>14</v>
      </c>
      <c r="N4" s="20" t="s">
        <v>15</v>
      </c>
    </row>
    <row r="5" spans="1:14" ht="126" customHeight="1" x14ac:dyDescent="0.45">
      <c r="B5" s="21">
        <v>1</v>
      </c>
      <c r="C5" s="18" t="s">
        <v>614</v>
      </c>
      <c r="D5" s="18" t="s">
        <v>17</v>
      </c>
      <c r="E5" s="41">
        <v>3</v>
      </c>
      <c r="F5" s="119" t="s">
        <v>738</v>
      </c>
      <c r="G5" s="120" t="s">
        <v>739</v>
      </c>
      <c r="H5" s="53"/>
      <c r="I5" s="120" t="s">
        <v>740</v>
      </c>
      <c r="J5" s="120" t="s">
        <v>741</v>
      </c>
      <c r="K5" s="18"/>
      <c r="L5" s="23"/>
      <c r="M5" s="22"/>
      <c r="N5" s="199"/>
    </row>
    <row r="6" spans="1:14" ht="315" customHeight="1" x14ac:dyDescent="0.45">
      <c r="B6" s="4">
        <v>2</v>
      </c>
      <c r="C6" s="7" t="s">
        <v>614</v>
      </c>
      <c r="D6" s="7" t="s">
        <v>17</v>
      </c>
      <c r="E6" s="34">
        <v>3</v>
      </c>
      <c r="F6" s="79" t="s">
        <v>742</v>
      </c>
      <c r="G6" s="53" t="s">
        <v>743</v>
      </c>
      <c r="H6" s="53" t="s">
        <v>744</v>
      </c>
      <c r="I6" s="53" t="s">
        <v>745</v>
      </c>
      <c r="J6" s="53" t="s">
        <v>746</v>
      </c>
      <c r="K6" s="7"/>
      <c r="L6" s="9"/>
      <c r="M6" s="3"/>
      <c r="N6" s="15"/>
    </row>
    <row r="7" spans="1:14" ht="252" customHeight="1" x14ac:dyDescent="0.45">
      <c r="B7" s="4">
        <v>3</v>
      </c>
      <c r="C7" s="7" t="s">
        <v>614</v>
      </c>
      <c r="D7" s="7" t="s">
        <v>17</v>
      </c>
      <c r="E7" s="34">
        <v>7</v>
      </c>
      <c r="F7" s="79" t="s">
        <v>747</v>
      </c>
      <c r="G7" s="53" t="s">
        <v>748</v>
      </c>
      <c r="H7" s="53" t="s">
        <v>749</v>
      </c>
      <c r="I7" s="53" t="s">
        <v>750</v>
      </c>
      <c r="J7" s="53" t="s">
        <v>751</v>
      </c>
      <c r="K7" s="7"/>
      <c r="L7" s="9"/>
      <c r="M7" s="3"/>
      <c r="N7" s="15"/>
    </row>
    <row r="8" spans="1:14" ht="252" customHeight="1" x14ac:dyDescent="0.45">
      <c r="B8" s="4">
        <v>4</v>
      </c>
      <c r="C8" s="7" t="s">
        <v>614</v>
      </c>
      <c r="D8" s="7" t="s">
        <v>17</v>
      </c>
      <c r="E8" s="34">
        <v>5</v>
      </c>
      <c r="F8" s="79" t="s">
        <v>752</v>
      </c>
      <c r="G8" s="53" t="s">
        <v>748</v>
      </c>
      <c r="H8" s="53" t="s">
        <v>753</v>
      </c>
      <c r="I8" s="53" t="s">
        <v>754</v>
      </c>
      <c r="J8" s="53" t="s">
        <v>755</v>
      </c>
      <c r="K8" s="7"/>
      <c r="L8" s="9"/>
      <c r="M8" s="3"/>
      <c r="N8" s="17"/>
    </row>
    <row r="9" spans="1:14" ht="378" customHeight="1" x14ac:dyDescent="0.45">
      <c r="B9" s="4">
        <v>5</v>
      </c>
      <c r="C9" s="7" t="s">
        <v>614</v>
      </c>
      <c r="D9" s="7" t="s">
        <v>17</v>
      </c>
      <c r="E9" s="34">
        <v>7</v>
      </c>
      <c r="F9" s="79" t="s">
        <v>756</v>
      </c>
      <c r="G9" s="53" t="s">
        <v>757</v>
      </c>
      <c r="H9" s="53" t="s">
        <v>758</v>
      </c>
      <c r="I9" s="53" t="s">
        <v>759</v>
      </c>
      <c r="J9" s="53" t="s">
        <v>760</v>
      </c>
      <c r="K9" s="7"/>
      <c r="L9" s="9"/>
      <c r="M9" s="3"/>
      <c r="N9" s="15"/>
    </row>
    <row r="10" spans="1:14" ht="378" customHeight="1" x14ac:dyDescent="0.45">
      <c r="B10" s="4">
        <v>6</v>
      </c>
      <c r="C10" s="7" t="s">
        <v>614</v>
      </c>
      <c r="D10" s="7" t="s">
        <v>17</v>
      </c>
      <c r="E10" s="34">
        <v>7</v>
      </c>
      <c r="F10" s="79" t="s">
        <v>761</v>
      </c>
      <c r="G10" s="53" t="s">
        <v>762</v>
      </c>
      <c r="H10" s="53" t="s">
        <v>763</v>
      </c>
      <c r="I10" s="53" t="s">
        <v>764</v>
      </c>
      <c r="J10" s="53" t="s">
        <v>765</v>
      </c>
      <c r="K10" s="7"/>
      <c r="L10" s="9"/>
      <c r="M10" s="3"/>
      <c r="N10" s="15"/>
    </row>
    <row r="11" spans="1:14" ht="78.75" customHeight="1" x14ac:dyDescent="0.45">
      <c r="B11" s="4">
        <v>7</v>
      </c>
      <c r="C11" s="7" t="s">
        <v>614</v>
      </c>
      <c r="D11" s="7" t="s">
        <v>103</v>
      </c>
      <c r="E11" s="34">
        <v>5</v>
      </c>
      <c r="F11" s="53" t="s">
        <v>766</v>
      </c>
      <c r="G11" s="53" t="s">
        <v>767</v>
      </c>
      <c r="H11" s="53"/>
      <c r="I11" s="53" t="s">
        <v>768</v>
      </c>
      <c r="J11" s="53" t="s">
        <v>769</v>
      </c>
      <c r="K11" s="7"/>
      <c r="L11" s="9"/>
      <c r="M11" s="3"/>
      <c r="N11" s="17"/>
    </row>
    <row r="12" spans="1:14" ht="180" customHeight="1" x14ac:dyDescent="0.45">
      <c r="B12" s="25">
        <v>8</v>
      </c>
      <c r="C12" s="7" t="s">
        <v>614</v>
      </c>
      <c r="D12" s="7" t="s">
        <v>103</v>
      </c>
      <c r="E12" s="34">
        <v>4</v>
      </c>
      <c r="F12" s="53" t="s">
        <v>770</v>
      </c>
      <c r="G12" s="53" t="s">
        <v>771</v>
      </c>
      <c r="H12" s="53" t="s">
        <v>772</v>
      </c>
      <c r="I12" s="53" t="s">
        <v>773</v>
      </c>
      <c r="J12" s="53" t="s">
        <v>729</v>
      </c>
      <c r="K12" s="7" t="s">
        <v>730</v>
      </c>
      <c r="L12" s="9" t="s">
        <v>730</v>
      </c>
      <c r="M12" s="3"/>
      <c r="N12" s="15" t="s">
        <v>730</v>
      </c>
    </row>
    <row r="13" spans="1:14" ht="166.5" customHeight="1" x14ac:dyDescent="0.45">
      <c r="B13" s="25">
        <v>9</v>
      </c>
      <c r="C13" s="7" t="s">
        <v>16</v>
      </c>
      <c r="D13" s="7" t="s">
        <v>17</v>
      </c>
      <c r="E13" s="34">
        <v>3</v>
      </c>
      <c r="F13" s="53" t="s">
        <v>406</v>
      </c>
      <c r="G13" s="53" t="s">
        <v>774</v>
      </c>
      <c r="H13" s="53" t="s">
        <v>775</v>
      </c>
      <c r="I13" s="53" t="s">
        <v>776</v>
      </c>
      <c r="J13" s="53" t="s">
        <v>408</v>
      </c>
      <c r="K13" s="7"/>
      <c r="L13" s="9"/>
      <c r="M13" s="3"/>
      <c r="N13" s="15"/>
    </row>
    <row r="14" spans="1:14" ht="173.25" customHeight="1" x14ac:dyDescent="0.45">
      <c r="B14" s="4">
        <v>10</v>
      </c>
      <c r="C14" s="7" t="s">
        <v>16</v>
      </c>
      <c r="D14" s="7" t="s">
        <v>17</v>
      </c>
      <c r="E14" s="34">
        <v>7</v>
      </c>
      <c r="F14" s="79" t="s">
        <v>777</v>
      </c>
      <c r="G14" s="53" t="s">
        <v>778</v>
      </c>
      <c r="H14" s="53"/>
      <c r="I14" s="53" t="s">
        <v>779</v>
      </c>
      <c r="J14" s="77" t="s">
        <v>780</v>
      </c>
      <c r="K14" s="3"/>
      <c r="L14" s="9"/>
      <c r="M14" s="30"/>
      <c r="N14" s="37"/>
    </row>
    <row r="15" spans="1:14" ht="141.75" customHeight="1" x14ac:dyDescent="0.45">
      <c r="B15" s="4">
        <v>11</v>
      </c>
      <c r="C15" s="7" t="s">
        <v>614</v>
      </c>
      <c r="D15" s="7" t="s">
        <v>103</v>
      </c>
      <c r="E15" s="34">
        <v>3</v>
      </c>
      <c r="F15" s="79" t="s">
        <v>781</v>
      </c>
      <c r="G15" s="53" t="s">
        <v>782</v>
      </c>
      <c r="H15" s="53"/>
      <c r="I15" s="53" t="s">
        <v>783</v>
      </c>
      <c r="J15" s="70" t="s">
        <v>784</v>
      </c>
      <c r="K15" s="27"/>
      <c r="L15" s="9"/>
      <c r="M15" s="9"/>
      <c r="N15" s="15"/>
    </row>
    <row r="16" spans="1:14" ht="51.75" customHeight="1" thickBot="1" x14ac:dyDescent="0.5">
      <c r="B16" s="5">
        <v>12</v>
      </c>
      <c r="C16" s="10" t="s">
        <v>614</v>
      </c>
      <c r="D16" s="10" t="s">
        <v>103</v>
      </c>
      <c r="E16" s="35">
        <v>10</v>
      </c>
      <c r="F16" s="62" t="s">
        <v>57</v>
      </c>
      <c r="G16" s="62" t="s">
        <v>68</v>
      </c>
      <c r="H16" s="53"/>
      <c r="I16" s="62" t="s">
        <v>59</v>
      </c>
      <c r="J16" s="62" t="s">
        <v>60</v>
      </c>
      <c r="K16" s="10"/>
      <c r="L16" s="11"/>
      <c r="M16" s="6"/>
      <c r="N16" s="26"/>
    </row>
    <row r="17" ht="16.5" customHeight="1" x14ac:dyDescent="0.45"/>
  </sheetData>
  <mergeCells count="3">
    <mergeCell ref="F3:M3"/>
    <mergeCell ref="B2:M2"/>
    <mergeCell ref="B3:C3"/>
  </mergeCells>
  <conditionalFormatting sqref="K5:K13 K16">
    <cfRule type="cellIs" dxfId="299" priority="36" operator="equal">
      <formula>"Not Tested"</formula>
    </cfRule>
    <cfRule type="cellIs" dxfId="298" priority="37" operator="equal">
      <formula>"Not Applicable"</formula>
    </cfRule>
    <cfRule type="cellIs" dxfId="297" priority="38" operator="equal">
      <formula>"Pass"</formula>
    </cfRule>
    <cfRule type="cellIs" dxfId="296" priority="39" operator="equal">
      <formula>"Not Tested"</formula>
    </cfRule>
    <cfRule type="cellIs" dxfId="295" priority="40" operator="equal">
      <formula>"Not Applicable"</formula>
    </cfRule>
    <cfRule type="cellIs" dxfId="294" priority="41" operator="equal">
      <formula>"Fail"</formula>
    </cfRule>
    <cfRule type="cellIs" dxfId="293" priority="42" operator="equal">
      <formula>"Pass"</formula>
    </cfRule>
  </conditionalFormatting>
  <conditionalFormatting sqref="L5:L16">
    <cfRule type="cellIs" dxfId="292" priority="1" operator="equal">
      <formula>"Cancelled"</formula>
    </cfRule>
    <cfRule type="cellIs" dxfId="291" priority="2" operator="equal">
      <formula>"N/A"</formula>
    </cfRule>
    <cfRule type="cellIs" dxfId="290" priority="3" operator="equal">
      <formula>"Pass"</formula>
    </cfRule>
    <cfRule type="cellIs" dxfId="289" priority="4" operator="equal">
      <formula>"In-Progress"</formula>
    </cfRule>
    <cfRule type="cellIs" dxfId="288" priority="5" operator="equal">
      <formula>"Blocked"</formula>
    </cfRule>
    <cfRule type="cellIs" dxfId="287" priority="6" operator="equal">
      <formula>"Fail"</formula>
    </cfRule>
    <cfRule type="cellIs" dxfId="286" priority="7" operator="equal">
      <formula>"Pass"</formula>
    </cfRule>
  </conditionalFormatting>
  <conditionalFormatting sqref="M15">
    <cfRule type="cellIs" dxfId="285" priority="22" operator="equal">
      <formula>"Cancelled"</formula>
    </cfRule>
    <cfRule type="cellIs" dxfId="284" priority="23" operator="equal">
      <formula>"N/A"</formula>
    </cfRule>
    <cfRule type="cellIs" dxfId="283" priority="24" operator="equal">
      <formula>"Pass"</formula>
    </cfRule>
    <cfRule type="cellIs" dxfId="282" priority="25" operator="equal">
      <formula>"In-Progress"</formula>
    </cfRule>
    <cfRule type="cellIs" dxfId="281" priority="26" operator="equal">
      <formula>"Blocked"</formula>
    </cfRule>
    <cfRule type="cellIs" dxfId="280" priority="27" operator="equal">
      <formula>"Fail"</formula>
    </cfRule>
    <cfRule type="cellIs" dxfId="279" priority="28" operator="equal">
      <formula>"Pass"</formula>
    </cfRule>
  </conditionalFormatting>
  <dataValidations count="1">
    <dataValidation type="list" allowBlank="1" showInputMessage="1" showErrorMessage="1" sqref="L5:L11 L13:L16" xr:uid="{00000000-0002-0000-0C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N17"/>
  <sheetViews>
    <sheetView topLeftCell="B9" zoomScale="90" zoomScaleNormal="90" workbookViewId="0">
      <selection activeCell="J6" sqref="J6"/>
    </sheetView>
  </sheetViews>
  <sheetFormatPr defaultColWidth="8.7265625" defaultRowHeight="15.5" x14ac:dyDescent="0.45"/>
  <cols>
    <col min="1" max="1" width="8.7265625" style="2" customWidth="1"/>
    <col min="2" max="2" width="10.26953125" style="2" customWidth="1"/>
    <col min="3" max="3" width="15.1796875" style="8" customWidth="1"/>
    <col min="4" max="4" width="14.54296875" style="2" customWidth="1"/>
    <col min="5" max="5" width="11.26953125" style="36" customWidth="1"/>
    <col min="6" max="6" width="60.1796875" style="2" customWidth="1"/>
    <col min="7" max="7" width="48.81640625" style="2" customWidth="1"/>
    <col min="8" max="8" width="60.1796875" style="2" customWidth="1"/>
    <col min="9" max="9" width="63" style="1" customWidth="1"/>
    <col min="10" max="10" width="49.1796875" style="1" customWidth="1"/>
    <col min="11" max="11" width="13.1796875" style="1" customWidth="1"/>
    <col min="12" max="12" width="19.453125" style="2" customWidth="1"/>
    <col min="13" max="13" width="18.81640625" style="2" customWidth="1"/>
    <col min="14" max="14" width="16.81640625" style="2" customWidth="1"/>
    <col min="15" max="61" width="8.7265625" style="2" customWidth="1"/>
    <col min="62" max="16384" width="8.7265625" style="2"/>
  </cols>
  <sheetData>
    <row r="1" spans="1:14" ht="16.5" customHeight="1" thickBot="1" x14ac:dyDescent="0.5"/>
    <row r="2" spans="1:14" ht="29.25" customHeight="1" thickBot="1" x14ac:dyDescent="0.5">
      <c r="B2" s="226" t="s">
        <v>785</v>
      </c>
      <c r="C2" s="227"/>
      <c r="D2" s="227"/>
      <c r="E2" s="227"/>
      <c r="F2" s="227"/>
      <c r="G2" s="227"/>
      <c r="H2" s="227"/>
      <c r="I2" s="227"/>
      <c r="J2" s="227"/>
      <c r="K2" s="227"/>
      <c r="L2" s="227"/>
      <c r="M2" s="228"/>
    </row>
    <row r="3" spans="1:14" ht="16.5" customHeight="1" thickBot="1" x14ac:dyDescent="0.5">
      <c r="B3" s="229" t="s">
        <v>70</v>
      </c>
      <c r="C3" s="224"/>
      <c r="D3" s="68"/>
      <c r="E3" s="69"/>
      <c r="F3" s="223" t="s">
        <v>786</v>
      </c>
      <c r="G3" s="224"/>
      <c r="H3" s="224"/>
      <c r="I3" s="224"/>
      <c r="J3" s="224"/>
      <c r="K3" s="224"/>
      <c r="L3" s="224"/>
      <c r="M3" s="225"/>
    </row>
    <row r="4" spans="1:14" ht="32.25" customHeight="1" thickBot="1" x14ac:dyDescent="0.5">
      <c r="A4"/>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1:14" ht="283.5" customHeight="1" x14ac:dyDescent="0.45">
      <c r="B5" s="127">
        <v>1</v>
      </c>
      <c r="C5" s="117" t="s">
        <v>16</v>
      </c>
      <c r="D5" s="117" t="s">
        <v>17</v>
      </c>
      <c r="E5" s="118">
        <v>5</v>
      </c>
      <c r="F5" s="119" t="s">
        <v>787</v>
      </c>
      <c r="G5" s="120"/>
      <c r="H5" s="53"/>
      <c r="I5" s="120" t="s">
        <v>788</v>
      </c>
      <c r="J5" s="194" t="s">
        <v>789</v>
      </c>
      <c r="K5" s="120"/>
      <c r="L5" s="121"/>
      <c r="M5" s="195"/>
      <c r="N5" s="196"/>
    </row>
    <row r="6" spans="1:14" ht="409.5" customHeight="1" x14ac:dyDescent="0.45">
      <c r="B6" s="50">
        <v>2</v>
      </c>
      <c r="C6" s="51" t="s">
        <v>16</v>
      </c>
      <c r="D6" s="51" t="s">
        <v>17</v>
      </c>
      <c r="E6" s="52">
        <v>7</v>
      </c>
      <c r="F6" s="79" t="s">
        <v>790</v>
      </c>
      <c r="G6" s="53" t="s">
        <v>734</v>
      </c>
      <c r="H6" s="53"/>
      <c r="I6" s="53" t="s">
        <v>791</v>
      </c>
      <c r="J6" s="77" t="s">
        <v>792</v>
      </c>
      <c r="K6" s="53"/>
      <c r="L6" s="54"/>
      <c r="M6" s="107"/>
      <c r="N6" s="108"/>
    </row>
    <row r="7" spans="1:14" ht="220.5" customHeight="1" x14ac:dyDescent="0.45">
      <c r="B7" s="50">
        <v>3</v>
      </c>
      <c r="C7" s="51" t="s">
        <v>16</v>
      </c>
      <c r="D7" s="51" t="s">
        <v>103</v>
      </c>
      <c r="E7" s="52">
        <v>7</v>
      </c>
      <c r="F7" s="79" t="s">
        <v>793</v>
      </c>
      <c r="G7" s="53" t="s">
        <v>734</v>
      </c>
      <c r="H7" s="53"/>
      <c r="I7" s="53" t="s">
        <v>794</v>
      </c>
      <c r="J7" s="77" t="s">
        <v>795</v>
      </c>
      <c r="K7" s="53"/>
      <c r="L7" s="54"/>
      <c r="M7" s="107"/>
      <c r="N7" s="108"/>
    </row>
    <row r="8" spans="1:14" ht="236.25" customHeight="1" x14ac:dyDescent="0.45">
      <c r="B8" s="50">
        <v>4</v>
      </c>
      <c r="C8" s="51" t="s">
        <v>16</v>
      </c>
      <c r="D8" s="51" t="s">
        <v>17</v>
      </c>
      <c r="E8" s="52">
        <v>7</v>
      </c>
      <c r="F8" s="79" t="s">
        <v>796</v>
      </c>
      <c r="G8" s="53" t="s">
        <v>734</v>
      </c>
      <c r="H8" s="53"/>
      <c r="I8" s="53" t="s">
        <v>797</v>
      </c>
      <c r="J8" s="77" t="s">
        <v>798</v>
      </c>
      <c r="K8" s="53"/>
      <c r="L8" s="54"/>
      <c r="M8" s="107"/>
      <c r="N8" s="108"/>
    </row>
    <row r="9" spans="1:14" ht="267.75" customHeight="1" x14ac:dyDescent="0.45">
      <c r="B9" s="50">
        <v>5</v>
      </c>
      <c r="C9" s="51" t="s">
        <v>16</v>
      </c>
      <c r="D9" s="51" t="s">
        <v>103</v>
      </c>
      <c r="E9" s="52">
        <v>7</v>
      </c>
      <c r="F9" s="79" t="s">
        <v>799</v>
      </c>
      <c r="G9" s="53" t="s">
        <v>734</v>
      </c>
      <c r="H9" s="53"/>
      <c r="I9" s="53" t="s">
        <v>800</v>
      </c>
      <c r="J9" s="77" t="s">
        <v>801</v>
      </c>
      <c r="K9" s="53"/>
      <c r="L9" s="54"/>
      <c r="M9" s="107"/>
      <c r="N9" s="108"/>
    </row>
    <row r="10" spans="1:14" ht="267.75" customHeight="1" x14ac:dyDescent="0.45">
      <c r="B10" s="50">
        <v>6</v>
      </c>
      <c r="C10" s="51" t="s">
        <v>16</v>
      </c>
      <c r="D10" s="51" t="s">
        <v>103</v>
      </c>
      <c r="E10" s="52">
        <v>7</v>
      </c>
      <c r="F10" s="79" t="s">
        <v>802</v>
      </c>
      <c r="G10" s="53" t="s">
        <v>734</v>
      </c>
      <c r="H10" s="53"/>
      <c r="I10" s="53" t="s">
        <v>803</v>
      </c>
      <c r="J10" s="77" t="s">
        <v>804</v>
      </c>
      <c r="K10" s="53"/>
      <c r="L10" s="54"/>
      <c r="M10" s="107"/>
      <c r="N10" s="108"/>
    </row>
    <row r="11" spans="1:14" ht="283.5" customHeight="1" x14ac:dyDescent="0.45">
      <c r="B11" s="50">
        <v>7</v>
      </c>
      <c r="C11" s="51" t="s">
        <v>16</v>
      </c>
      <c r="D11" s="51" t="s">
        <v>17</v>
      </c>
      <c r="E11" s="52">
        <v>7</v>
      </c>
      <c r="F11" s="79" t="s">
        <v>805</v>
      </c>
      <c r="G11" s="53" t="s">
        <v>734</v>
      </c>
      <c r="H11" s="53"/>
      <c r="I11" s="53" t="s">
        <v>779</v>
      </c>
      <c r="J11" s="77" t="s">
        <v>780</v>
      </c>
      <c r="K11" s="53"/>
      <c r="L11" s="54"/>
      <c r="M11" s="107"/>
      <c r="N11" s="108"/>
    </row>
    <row r="12" spans="1:14" ht="252" customHeight="1" x14ac:dyDescent="0.45">
      <c r="B12" s="50">
        <v>8</v>
      </c>
      <c r="C12" s="51" t="s">
        <v>806</v>
      </c>
      <c r="D12" s="51" t="s">
        <v>17</v>
      </c>
      <c r="E12" s="52">
        <v>7</v>
      </c>
      <c r="F12" s="79" t="s">
        <v>807</v>
      </c>
      <c r="G12" s="53" t="s">
        <v>734</v>
      </c>
      <c r="H12" s="53"/>
      <c r="I12" s="53" t="s">
        <v>808</v>
      </c>
      <c r="J12" s="77" t="s">
        <v>809</v>
      </c>
      <c r="K12" s="53"/>
      <c r="L12" s="54"/>
      <c r="M12" s="107"/>
      <c r="N12" s="108"/>
    </row>
    <row r="13" spans="1:14" ht="204.75" customHeight="1" x14ac:dyDescent="0.45">
      <c r="B13" s="50">
        <v>9</v>
      </c>
      <c r="C13" s="51" t="s">
        <v>810</v>
      </c>
      <c r="D13" s="51" t="s">
        <v>17</v>
      </c>
      <c r="E13" s="52">
        <v>7</v>
      </c>
      <c r="F13" s="79" t="s">
        <v>811</v>
      </c>
      <c r="G13" s="53" t="s">
        <v>734</v>
      </c>
      <c r="H13" s="53"/>
      <c r="I13" s="53" t="s">
        <v>812</v>
      </c>
      <c r="J13" s="77" t="s">
        <v>813</v>
      </c>
      <c r="K13" s="53"/>
      <c r="L13" s="54"/>
      <c r="M13" s="107"/>
      <c r="N13" s="108"/>
    </row>
    <row r="14" spans="1:14" ht="204.75" customHeight="1" x14ac:dyDescent="0.45">
      <c r="B14" s="50">
        <v>10</v>
      </c>
      <c r="C14" s="51" t="s">
        <v>810</v>
      </c>
      <c r="D14" s="51" t="s">
        <v>103</v>
      </c>
      <c r="E14" s="52">
        <v>7</v>
      </c>
      <c r="F14" s="79" t="s">
        <v>814</v>
      </c>
      <c r="G14" s="53" t="s">
        <v>734</v>
      </c>
      <c r="H14" s="53"/>
      <c r="I14" s="53" t="s">
        <v>815</v>
      </c>
      <c r="J14" s="77" t="s">
        <v>816</v>
      </c>
      <c r="K14" s="53"/>
      <c r="L14" s="54"/>
      <c r="M14" s="107"/>
      <c r="N14" s="108"/>
    </row>
    <row r="15" spans="1:14" ht="204.75" customHeight="1" x14ac:dyDescent="0.45">
      <c r="B15" s="50">
        <v>11</v>
      </c>
      <c r="C15" s="51" t="s">
        <v>810</v>
      </c>
      <c r="D15" s="51" t="s">
        <v>103</v>
      </c>
      <c r="E15" s="52">
        <v>7</v>
      </c>
      <c r="F15" s="79" t="s">
        <v>817</v>
      </c>
      <c r="G15" s="53" t="s">
        <v>734</v>
      </c>
      <c r="H15" s="53"/>
      <c r="I15" s="53" t="s">
        <v>818</v>
      </c>
      <c r="J15" s="77" t="s">
        <v>819</v>
      </c>
      <c r="K15" s="53"/>
      <c r="L15" s="54"/>
      <c r="M15" s="107"/>
      <c r="N15" s="108"/>
    </row>
    <row r="16" spans="1:14" ht="204.75" customHeight="1" x14ac:dyDescent="0.45">
      <c r="B16" s="50">
        <v>12</v>
      </c>
      <c r="C16" s="51" t="s">
        <v>383</v>
      </c>
      <c r="D16" s="51" t="s">
        <v>103</v>
      </c>
      <c r="E16" s="52">
        <v>7</v>
      </c>
      <c r="F16" s="79" t="s">
        <v>820</v>
      </c>
      <c r="G16" s="53" t="s">
        <v>734</v>
      </c>
      <c r="H16" s="53"/>
      <c r="I16" s="53" t="s">
        <v>821</v>
      </c>
      <c r="J16" s="77" t="s">
        <v>822</v>
      </c>
      <c r="K16" s="53"/>
      <c r="L16" s="54"/>
      <c r="M16" s="107"/>
      <c r="N16" s="108"/>
    </row>
    <row r="17" spans="2:14" ht="32.25" customHeight="1" thickBot="1" x14ac:dyDescent="0.5">
      <c r="B17" s="59">
        <v>13</v>
      </c>
      <c r="C17" s="60" t="s">
        <v>16</v>
      </c>
      <c r="D17" s="60" t="s">
        <v>103</v>
      </c>
      <c r="E17" s="61">
        <v>10</v>
      </c>
      <c r="F17" s="94" t="s">
        <v>57</v>
      </c>
      <c r="G17" s="62" t="s">
        <v>68</v>
      </c>
      <c r="H17" s="53"/>
      <c r="I17" s="62" t="s">
        <v>59</v>
      </c>
      <c r="J17" s="62" t="s">
        <v>60</v>
      </c>
      <c r="K17" s="62"/>
      <c r="L17" s="63"/>
      <c r="M17" s="62"/>
      <c r="N17" s="64"/>
    </row>
  </sheetData>
  <mergeCells count="3">
    <mergeCell ref="F3:M3"/>
    <mergeCell ref="B2:M2"/>
    <mergeCell ref="B3:C3"/>
  </mergeCells>
  <conditionalFormatting sqref="K5:K10">
    <cfRule type="cellIs" dxfId="278" priority="146" operator="equal">
      <formula>"Not Tested"</formula>
    </cfRule>
    <cfRule type="cellIs" dxfId="277" priority="147" operator="equal">
      <formula>"Not Applicable"</formula>
    </cfRule>
    <cfRule type="cellIs" dxfId="276" priority="149" operator="equal">
      <formula>"Not Tested"</formula>
    </cfRule>
    <cfRule type="cellIs" dxfId="275" priority="150" operator="equal">
      <formula>"Not Applicable"</formula>
    </cfRule>
  </conditionalFormatting>
  <conditionalFormatting sqref="K5:K15">
    <cfRule type="cellIs" dxfId="274" priority="13" operator="equal">
      <formula>"Pass"</formula>
    </cfRule>
    <cfRule type="cellIs" dxfId="273" priority="16" operator="equal">
      <formula>"Fail"</formula>
    </cfRule>
    <cfRule type="cellIs" dxfId="272" priority="17" operator="equal">
      <formula>"Pass"</formula>
    </cfRule>
  </conditionalFormatting>
  <conditionalFormatting sqref="K6:K15">
    <cfRule type="cellIs" dxfId="271" priority="11" operator="equal">
      <formula>"Not Tested"</formula>
    </cfRule>
    <cfRule type="cellIs" dxfId="270" priority="12" operator="equal">
      <formula>"Not Applicable"</formula>
    </cfRule>
  </conditionalFormatting>
  <conditionalFormatting sqref="K11:K15">
    <cfRule type="cellIs" dxfId="269" priority="14" operator="equal">
      <formula>"Not Tested"</formula>
    </cfRule>
    <cfRule type="cellIs" dxfId="268" priority="15" operator="equal">
      <formula>"Not Applicable"</formula>
    </cfRule>
  </conditionalFormatting>
  <conditionalFormatting sqref="K6:L10">
    <cfRule type="cellIs" dxfId="267" priority="72" operator="equal">
      <formula>"Not Tested"</formula>
    </cfRule>
    <cfRule type="cellIs" dxfId="266" priority="73" operator="equal">
      <formula>"Not Applicable"</formula>
    </cfRule>
  </conditionalFormatting>
  <conditionalFormatting sqref="L5:L10">
    <cfRule type="cellIs" dxfId="265" priority="144" operator="equal">
      <formula>"Fail"</formula>
    </cfRule>
  </conditionalFormatting>
  <conditionalFormatting sqref="L5:L17">
    <cfRule type="cellIs" dxfId="264" priority="4" operator="equal">
      <formula>"Pass"</formula>
    </cfRule>
    <cfRule type="cellIs" dxfId="263" priority="5" operator="equal">
      <formula>"Cancelled"</formula>
    </cfRule>
    <cfRule type="cellIs" dxfId="262" priority="6" operator="equal">
      <formula>"N/A"</formula>
    </cfRule>
    <cfRule type="cellIs" dxfId="261" priority="7" operator="equal">
      <formula>"Pass"</formula>
    </cfRule>
    <cfRule type="cellIs" dxfId="260" priority="8" operator="equal">
      <formula>"In-Progress"</formula>
    </cfRule>
    <cfRule type="cellIs" dxfId="259" priority="9" operator="equal">
      <formula>"Blocked"</formula>
    </cfRule>
  </conditionalFormatting>
  <conditionalFormatting sqref="L6:L7">
    <cfRule type="cellIs" dxfId="258" priority="113" operator="equal">
      <formula>"Fail"</formula>
    </cfRule>
  </conditionalFormatting>
  <conditionalFormatting sqref="L6:L10">
    <cfRule type="cellIs" dxfId="257" priority="137" operator="equal">
      <formula>"Fail"</formula>
    </cfRule>
  </conditionalFormatting>
  <conditionalFormatting sqref="L7">
    <cfRule type="cellIs" dxfId="256" priority="106" operator="equal">
      <formula>"Fail"</formula>
    </cfRule>
  </conditionalFormatting>
  <conditionalFormatting sqref="L8:L17">
    <cfRule type="cellIs" dxfId="255" priority="34" operator="equal">
      <formula>"Fail"</formula>
    </cfRule>
  </conditionalFormatting>
  <conditionalFormatting sqref="L10:L12">
    <cfRule type="cellIs" dxfId="254" priority="25" operator="equal">
      <formula>"Not Tested"</formula>
    </cfRule>
    <cfRule type="cellIs" dxfId="253" priority="26" operator="equal">
      <formula>"Not Applicable"</formula>
    </cfRule>
    <cfRule type="cellIs" dxfId="252" priority="27" operator="equal">
      <formula>"Fail"</formula>
    </cfRule>
  </conditionalFormatting>
  <conditionalFormatting sqref="L11">
    <cfRule type="cellIs" dxfId="251" priority="24" operator="equal">
      <formula>"Fail"</formula>
    </cfRule>
  </conditionalFormatting>
  <conditionalFormatting sqref="L14:L17">
    <cfRule type="cellIs" dxfId="250" priority="1" operator="equal">
      <formula>"Not Tested"</formula>
    </cfRule>
    <cfRule type="cellIs" dxfId="249" priority="2" operator="equal">
      <formula>"Not Applicable"</formula>
    </cfRule>
    <cfRule type="cellIs" dxfId="248" priority="3" operator="equal">
      <formula>"Fail"</formula>
    </cfRule>
  </conditionalFormatting>
  <conditionalFormatting sqref="L15">
    <cfRule type="cellIs" dxfId="247" priority="10" operator="equal">
      <formula>"Fail"</formula>
    </cfRule>
  </conditionalFormatting>
  <dataValidations count="2">
    <dataValidation type="list" allowBlank="1" showInputMessage="1" showErrorMessage="1" sqref="K6:K14 K15" xr:uid="{00000000-0002-0000-0D00-000000000000}">
      <formula1>"Pass,Fail,Not Applicable,Not Tested"</formula1>
    </dataValidation>
    <dataValidation type="list" allowBlank="1" showInputMessage="1" showErrorMessage="1" sqref="L5:L17 L11 L15" xr:uid="{00000000-0002-0000-0D00-000001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B1:N13"/>
  <sheetViews>
    <sheetView topLeftCell="D1" zoomScale="80" zoomScaleNormal="80" workbookViewId="0">
      <selection activeCell="H10" sqref="H10"/>
    </sheetView>
  </sheetViews>
  <sheetFormatPr defaultColWidth="8.7265625" defaultRowHeight="14.5" x14ac:dyDescent="0.35"/>
  <cols>
    <col min="1" max="1" width="2.81640625" customWidth="1"/>
    <col min="4" max="4" width="26" customWidth="1"/>
    <col min="5" max="5" width="11.26953125" style="32" customWidth="1"/>
    <col min="6" max="6" width="42.81640625" customWidth="1"/>
    <col min="7" max="7" width="47.54296875" customWidth="1"/>
    <col min="8" max="8" width="38.81640625" customWidth="1"/>
    <col min="9" max="9" width="37.453125" customWidth="1"/>
    <col min="10" max="10" width="50.81640625" customWidth="1"/>
    <col min="11" max="11" width="17.54296875" customWidth="1"/>
    <col min="12" max="12" width="19.453125" customWidth="1"/>
    <col min="13" max="13" width="18.81640625" customWidth="1"/>
    <col min="14" max="14" width="18.1796875" customWidth="1"/>
  </cols>
  <sheetData>
    <row r="1" spans="2:14" ht="15.75" customHeight="1" thickBot="1" x14ac:dyDescent="0.4"/>
    <row r="2" spans="2:14" ht="29.25" customHeight="1" thickBot="1" x14ac:dyDescent="0.4">
      <c r="B2" s="226" t="s">
        <v>823</v>
      </c>
      <c r="C2" s="227"/>
      <c r="D2" s="227"/>
      <c r="E2" s="227"/>
      <c r="F2" s="227"/>
      <c r="G2" s="227"/>
      <c r="H2" s="227"/>
      <c r="I2" s="227"/>
      <c r="J2" s="227"/>
      <c r="K2" s="227"/>
      <c r="L2" s="227"/>
      <c r="M2" s="228"/>
    </row>
    <row r="3" spans="2:14" ht="16.5" customHeight="1" thickBot="1" x14ac:dyDescent="0.4">
      <c r="B3" s="229" t="s">
        <v>1</v>
      </c>
      <c r="C3" s="224"/>
      <c r="D3" s="68"/>
      <c r="E3" s="69"/>
      <c r="F3" s="223" t="s">
        <v>824</v>
      </c>
      <c r="G3" s="224"/>
      <c r="H3" s="224"/>
      <c r="I3" s="224"/>
      <c r="J3" s="224"/>
      <c r="K3" s="224"/>
      <c r="L3" s="224"/>
      <c r="M3" s="225"/>
    </row>
    <row r="4" spans="2:14" ht="32.25" customHeight="1" thickBot="1" x14ac:dyDescent="0.4">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2:14" ht="110.25" customHeight="1" x14ac:dyDescent="0.45">
      <c r="B5" s="127">
        <v>1</v>
      </c>
      <c r="C5" s="117" t="s">
        <v>383</v>
      </c>
      <c r="D5" s="117" t="s">
        <v>17</v>
      </c>
      <c r="E5" s="118">
        <v>2</v>
      </c>
      <c r="F5" s="120" t="s">
        <v>825</v>
      </c>
      <c r="G5" s="120" t="s">
        <v>739</v>
      </c>
      <c r="H5" s="53"/>
      <c r="I5" s="120" t="s">
        <v>826</v>
      </c>
      <c r="J5" s="120" t="s">
        <v>827</v>
      </c>
      <c r="K5" s="117"/>
      <c r="L5" s="121"/>
      <c r="M5" s="173"/>
      <c r="N5" s="174"/>
    </row>
    <row r="6" spans="2:14" ht="94.5" customHeight="1" x14ac:dyDescent="0.45">
      <c r="B6" s="50">
        <v>2</v>
      </c>
      <c r="C6" s="51" t="s">
        <v>383</v>
      </c>
      <c r="D6" s="51" t="s">
        <v>17</v>
      </c>
      <c r="E6" s="52">
        <v>3</v>
      </c>
      <c r="F6" s="79" t="s">
        <v>828</v>
      </c>
      <c r="G6" s="53" t="s">
        <v>616</v>
      </c>
      <c r="H6" s="53"/>
      <c r="I6" s="53" t="s">
        <v>829</v>
      </c>
      <c r="J6" s="53" t="s">
        <v>830</v>
      </c>
      <c r="K6" s="51"/>
      <c r="L6" s="54"/>
      <c r="M6" s="71"/>
      <c r="N6" s="72"/>
    </row>
    <row r="7" spans="2:14" ht="173.25" customHeight="1" x14ac:dyDescent="0.45">
      <c r="B7" s="50">
        <v>3</v>
      </c>
      <c r="C7" s="51" t="s">
        <v>383</v>
      </c>
      <c r="D7" s="51" t="s">
        <v>17</v>
      </c>
      <c r="E7" s="52">
        <v>3</v>
      </c>
      <c r="F7" s="79" t="s">
        <v>831</v>
      </c>
      <c r="G7" s="53" t="s">
        <v>832</v>
      </c>
      <c r="H7" s="53"/>
      <c r="I7" s="53" t="s">
        <v>833</v>
      </c>
      <c r="J7" s="53" t="s">
        <v>834</v>
      </c>
      <c r="K7" s="51"/>
      <c r="L7" s="54"/>
      <c r="M7" s="71"/>
      <c r="N7" s="72"/>
    </row>
    <row r="8" spans="2:14" ht="189" customHeight="1" x14ac:dyDescent="0.45">
      <c r="B8" s="50">
        <v>4</v>
      </c>
      <c r="C8" s="51" t="s">
        <v>383</v>
      </c>
      <c r="D8" s="51" t="s">
        <v>17</v>
      </c>
      <c r="E8" s="52">
        <v>3</v>
      </c>
      <c r="F8" s="79" t="s">
        <v>835</v>
      </c>
      <c r="G8" s="53" t="s">
        <v>836</v>
      </c>
      <c r="H8" s="53"/>
      <c r="I8" s="53" t="s">
        <v>837</v>
      </c>
      <c r="J8" s="53" t="s">
        <v>838</v>
      </c>
      <c r="K8" s="51"/>
      <c r="L8" s="54"/>
      <c r="M8" s="71"/>
      <c r="N8" s="72"/>
    </row>
    <row r="9" spans="2:14" ht="236.25" customHeight="1" x14ac:dyDescent="0.45">
      <c r="B9" s="50">
        <v>5</v>
      </c>
      <c r="C9" s="51" t="s">
        <v>383</v>
      </c>
      <c r="D9" s="51" t="s">
        <v>17</v>
      </c>
      <c r="E9" s="52">
        <v>5</v>
      </c>
      <c r="F9" s="79" t="s">
        <v>839</v>
      </c>
      <c r="G9" s="53" t="s">
        <v>840</v>
      </c>
      <c r="H9" s="53"/>
      <c r="I9" s="53" t="s">
        <v>841</v>
      </c>
      <c r="J9" s="53" t="s">
        <v>842</v>
      </c>
      <c r="K9" s="51"/>
      <c r="L9" s="54"/>
      <c r="M9" s="71"/>
      <c r="N9" s="72"/>
    </row>
    <row r="10" spans="2:14" ht="164.25" customHeight="1" x14ac:dyDescent="0.45">
      <c r="B10" s="50">
        <v>6</v>
      </c>
      <c r="C10" s="51" t="s">
        <v>383</v>
      </c>
      <c r="D10" s="51" t="s">
        <v>17</v>
      </c>
      <c r="E10" s="52">
        <v>3</v>
      </c>
      <c r="F10" s="79" t="s">
        <v>843</v>
      </c>
      <c r="G10" s="53" t="s">
        <v>840</v>
      </c>
      <c r="H10" s="53" t="s">
        <v>844</v>
      </c>
      <c r="I10" s="53" t="s">
        <v>845</v>
      </c>
      <c r="J10" s="53" t="s">
        <v>846</v>
      </c>
      <c r="K10" s="51"/>
      <c r="L10" s="54"/>
      <c r="M10" s="71"/>
      <c r="N10" s="72"/>
    </row>
    <row r="11" spans="2:14" ht="204.75" customHeight="1" x14ac:dyDescent="0.45">
      <c r="B11" s="50">
        <v>7</v>
      </c>
      <c r="C11" s="51" t="s">
        <v>383</v>
      </c>
      <c r="D11" s="51" t="s">
        <v>17</v>
      </c>
      <c r="E11" s="52">
        <v>5</v>
      </c>
      <c r="F11" s="79" t="s">
        <v>847</v>
      </c>
      <c r="G11" s="53" t="s">
        <v>848</v>
      </c>
      <c r="H11" s="53" t="s">
        <v>849</v>
      </c>
      <c r="I11" s="53" t="s">
        <v>850</v>
      </c>
      <c r="J11" s="53" t="s">
        <v>851</v>
      </c>
      <c r="K11" s="51"/>
      <c r="L11" s="54"/>
      <c r="M11" s="71"/>
      <c r="N11" s="72"/>
    </row>
    <row r="12" spans="2:14" ht="32.25" customHeight="1" thickBot="1" x14ac:dyDescent="0.4">
      <c r="B12" s="59">
        <v>8</v>
      </c>
      <c r="C12" s="60" t="s">
        <v>383</v>
      </c>
      <c r="D12" s="60" t="s">
        <v>103</v>
      </c>
      <c r="E12" s="61">
        <v>10</v>
      </c>
      <c r="F12" s="94" t="s">
        <v>852</v>
      </c>
      <c r="G12" s="73"/>
      <c r="H12" s="53"/>
      <c r="I12" s="62" t="s">
        <v>853</v>
      </c>
      <c r="J12" s="62" t="s">
        <v>854</v>
      </c>
      <c r="K12" s="60"/>
      <c r="L12" s="63"/>
      <c r="M12" s="139"/>
      <c r="N12" s="136"/>
    </row>
    <row r="13" spans="2:14" ht="15.75" customHeight="1" x14ac:dyDescent="0.35">
      <c r="K13" s="29"/>
    </row>
  </sheetData>
  <mergeCells count="3">
    <mergeCell ref="F3:M3"/>
    <mergeCell ref="B2:M2"/>
    <mergeCell ref="B3:C3"/>
  </mergeCells>
  <conditionalFormatting sqref="K5:K12">
    <cfRule type="cellIs" dxfId="246" priority="8" operator="equal">
      <formula>"Not Tested"</formula>
    </cfRule>
    <cfRule type="cellIs" dxfId="245" priority="9" operator="equal">
      <formula>"Not Applicable"</formula>
    </cfRule>
    <cfRule type="cellIs" dxfId="244" priority="10" operator="equal">
      <formula>"Pass"</formula>
    </cfRule>
    <cfRule type="cellIs" dxfId="243" priority="11" operator="equal">
      <formula>"Not Tested"</formula>
    </cfRule>
    <cfRule type="cellIs" dxfId="242" priority="12" operator="equal">
      <formula>"Not Applicable"</formula>
    </cfRule>
    <cfRule type="cellIs" dxfId="241" priority="13" operator="equal">
      <formula>"Fail"</formula>
    </cfRule>
  </conditionalFormatting>
  <conditionalFormatting sqref="L5:L12 K5:K13">
    <cfRule type="cellIs" dxfId="240" priority="7" operator="equal">
      <formula>"Pass"</formula>
    </cfRule>
  </conditionalFormatting>
  <conditionalFormatting sqref="L5:L12 K13">
    <cfRule type="cellIs" dxfId="239" priority="1" operator="equal">
      <formula>"Cancelled"</formula>
    </cfRule>
    <cfRule type="cellIs" dxfId="238" priority="2" operator="equal">
      <formula>"N/A"</formula>
    </cfRule>
    <cfRule type="cellIs" dxfId="237" priority="3" operator="equal">
      <formula>"Pass"</formula>
    </cfRule>
    <cfRule type="cellIs" dxfId="236" priority="4" operator="equal">
      <formula>"In-Progress"</formula>
    </cfRule>
    <cfRule type="cellIs" dxfId="235" priority="5" operator="equal">
      <formula>"Blocked"</formula>
    </cfRule>
    <cfRule type="cellIs" dxfId="234" priority="6" operator="equal">
      <formula>"Fail"</formula>
    </cfRule>
  </conditionalFormatting>
  <dataValidations count="1">
    <dataValidation type="list" allowBlank="1" showInputMessage="1" showErrorMessage="1" sqref="L5:L12" xr:uid="{00000000-0002-0000-0E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N9"/>
  <sheetViews>
    <sheetView zoomScale="60" zoomScaleNormal="60" workbookViewId="0">
      <selection activeCell="G8" sqref="G8"/>
    </sheetView>
  </sheetViews>
  <sheetFormatPr defaultColWidth="8.7265625" defaultRowHeight="15.5" x14ac:dyDescent="0.45"/>
  <cols>
    <col min="1" max="1" width="8.7265625" style="2" customWidth="1"/>
    <col min="2" max="2" width="10.26953125" style="2" customWidth="1"/>
    <col min="3" max="3" width="15.1796875" style="8" customWidth="1"/>
    <col min="4" max="4" width="14.54296875" style="2" customWidth="1"/>
    <col min="5" max="5" width="11.26953125" style="36" customWidth="1"/>
    <col min="6" max="6" width="55.54296875" style="2" customWidth="1"/>
    <col min="7" max="7" width="50.453125" style="2" customWidth="1"/>
    <col min="8" max="8" width="56.453125" style="2" customWidth="1"/>
    <col min="9" max="9" width="56.26953125" style="1" customWidth="1"/>
    <col min="10" max="10" width="45.7265625" style="1" customWidth="1"/>
    <col min="11" max="11" width="13.1796875" style="1" customWidth="1"/>
    <col min="12" max="12" width="19.453125" style="2" customWidth="1"/>
    <col min="13" max="13" width="18.81640625" style="2" customWidth="1"/>
    <col min="14" max="14" width="20.453125" style="2" customWidth="1"/>
    <col min="15" max="61" width="8.7265625" style="2" customWidth="1"/>
    <col min="62" max="16384" width="8.7265625" style="2"/>
  </cols>
  <sheetData>
    <row r="1" spans="1:14" ht="16.5" customHeight="1" thickBot="1" x14ac:dyDescent="0.5"/>
    <row r="2" spans="1:14" ht="29.25" customHeight="1" thickBot="1" x14ac:dyDescent="0.5">
      <c r="B2" s="241" t="s">
        <v>855</v>
      </c>
      <c r="C2" s="227"/>
      <c r="D2" s="227"/>
      <c r="E2" s="227"/>
      <c r="F2" s="227"/>
      <c r="G2" s="227"/>
      <c r="H2" s="227"/>
      <c r="I2" s="227"/>
      <c r="J2" s="227"/>
      <c r="K2" s="227"/>
      <c r="L2" s="227"/>
      <c r="M2" s="228"/>
    </row>
    <row r="3" spans="1:14" ht="16.5" customHeight="1" thickBot="1" x14ac:dyDescent="0.5">
      <c r="B3" s="240" t="s">
        <v>70</v>
      </c>
      <c r="C3" s="224"/>
      <c r="D3" s="31"/>
      <c r="E3" s="33"/>
      <c r="F3" s="238" t="s">
        <v>856</v>
      </c>
      <c r="G3" s="224"/>
      <c r="H3" s="224"/>
      <c r="I3" s="224"/>
      <c r="J3" s="224"/>
      <c r="K3" s="224"/>
      <c r="L3" s="224"/>
      <c r="M3" s="225"/>
    </row>
    <row r="4" spans="1:14" ht="16.5" customHeight="1" thickBot="1" x14ac:dyDescent="0.5">
      <c r="A4"/>
      <c r="B4" s="197" t="s">
        <v>3</v>
      </c>
      <c r="C4" s="19" t="s">
        <v>4</v>
      </c>
      <c r="D4" s="19" t="s">
        <v>5</v>
      </c>
      <c r="E4" s="198" t="s">
        <v>6</v>
      </c>
      <c r="F4" s="19" t="s">
        <v>7</v>
      </c>
      <c r="G4" s="19" t="s">
        <v>8</v>
      </c>
      <c r="H4" s="19" t="s">
        <v>9</v>
      </c>
      <c r="I4" s="19" t="s">
        <v>10</v>
      </c>
      <c r="J4" s="19" t="s">
        <v>11</v>
      </c>
      <c r="K4" s="19" t="s">
        <v>12</v>
      </c>
      <c r="L4" s="19" t="s">
        <v>13</v>
      </c>
      <c r="M4" s="19" t="s">
        <v>14</v>
      </c>
      <c r="N4" s="20" t="s">
        <v>15</v>
      </c>
    </row>
    <row r="5" spans="1:14" ht="126" customHeight="1" x14ac:dyDescent="0.45">
      <c r="B5" s="21">
        <v>1</v>
      </c>
      <c r="C5" s="117" t="s">
        <v>16</v>
      </c>
      <c r="D5" s="18" t="s">
        <v>17</v>
      </c>
      <c r="E5" s="41">
        <v>2</v>
      </c>
      <c r="F5" s="78" t="s">
        <v>857</v>
      </c>
      <c r="G5" s="120" t="s">
        <v>858</v>
      </c>
      <c r="H5" s="53"/>
      <c r="I5" s="120" t="s">
        <v>859</v>
      </c>
      <c r="J5" s="120" t="s">
        <v>860</v>
      </c>
      <c r="K5" s="22"/>
      <c r="L5" s="23"/>
      <c r="M5" s="22"/>
      <c r="N5" s="24"/>
    </row>
    <row r="6" spans="1:14" ht="236.25" customHeight="1" x14ac:dyDescent="0.45">
      <c r="B6" s="4">
        <v>2</v>
      </c>
      <c r="C6" s="51" t="s">
        <v>16</v>
      </c>
      <c r="D6" s="7" t="s">
        <v>17</v>
      </c>
      <c r="E6" s="34">
        <v>5</v>
      </c>
      <c r="F6" s="28" t="s">
        <v>861</v>
      </c>
      <c r="G6" s="53" t="s">
        <v>858</v>
      </c>
      <c r="H6" s="53"/>
      <c r="I6" s="53" t="s">
        <v>862</v>
      </c>
      <c r="J6" s="53" t="s">
        <v>863</v>
      </c>
      <c r="K6" s="3"/>
      <c r="L6" s="9"/>
      <c r="M6" s="3"/>
      <c r="N6" s="13"/>
    </row>
    <row r="7" spans="1:14" ht="236.25" customHeight="1" thickBot="1" x14ac:dyDescent="0.5">
      <c r="B7" s="5">
        <v>3</v>
      </c>
      <c r="C7" s="60" t="s">
        <v>16</v>
      </c>
      <c r="D7" s="10" t="s">
        <v>103</v>
      </c>
      <c r="E7" s="35">
        <v>5</v>
      </c>
      <c r="F7" s="6" t="s">
        <v>57</v>
      </c>
      <c r="G7" s="6"/>
      <c r="H7" s="6"/>
      <c r="I7" s="6" t="s">
        <v>59</v>
      </c>
      <c r="J7" s="62" t="s">
        <v>60</v>
      </c>
      <c r="K7" s="6"/>
      <c r="L7" s="11"/>
      <c r="M7" s="6"/>
      <c r="N7" s="14"/>
    </row>
    <row r="8" spans="1:14" ht="33.75" customHeight="1" x14ac:dyDescent="0.45"/>
    <row r="9" spans="1:14" x14ac:dyDescent="0.45">
      <c r="F9" s="40"/>
      <c r="G9" s="40"/>
      <c r="H9" s="40"/>
      <c r="I9" s="40"/>
      <c r="J9" s="40"/>
      <c r="K9" s="40"/>
      <c r="L9" s="40"/>
      <c r="M9" s="40"/>
    </row>
  </sheetData>
  <mergeCells count="3">
    <mergeCell ref="F3:M3"/>
    <mergeCell ref="B2:M2"/>
    <mergeCell ref="B3:C3"/>
  </mergeCells>
  <conditionalFormatting sqref="K5:K6">
    <cfRule type="cellIs" dxfId="233" priority="8" operator="equal">
      <formula>"Not Tested"</formula>
    </cfRule>
    <cfRule type="cellIs" dxfId="232" priority="9" operator="equal">
      <formula>"Not Applicable"</formula>
    </cfRule>
    <cfRule type="cellIs" dxfId="231" priority="10" operator="equal">
      <formula>"Pass"</formula>
    </cfRule>
    <cfRule type="cellIs" dxfId="230" priority="11" operator="equal">
      <formula>"Not Tested"</formula>
    </cfRule>
    <cfRule type="cellIs" dxfId="229" priority="12" operator="equal">
      <formula>"Not Applicable"</formula>
    </cfRule>
    <cfRule type="cellIs" dxfId="228" priority="13" operator="equal">
      <formula>"Fail"</formula>
    </cfRule>
  </conditionalFormatting>
  <conditionalFormatting sqref="K5:L6 L7">
    <cfRule type="cellIs" dxfId="227" priority="7" operator="equal">
      <formula>"Pass"</formula>
    </cfRule>
  </conditionalFormatting>
  <conditionalFormatting sqref="L5:L7">
    <cfRule type="cellIs" dxfId="226" priority="1" operator="equal">
      <formula>"Cancelled"</formula>
    </cfRule>
    <cfRule type="cellIs" dxfId="225" priority="2" operator="equal">
      <formula>"N/A"</formula>
    </cfRule>
    <cfRule type="cellIs" dxfId="224" priority="3" operator="equal">
      <formula>"Pass"</formula>
    </cfRule>
    <cfRule type="cellIs" dxfId="223" priority="4" operator="equal">
      <formula>"In-Progress"</formula>
    </cfRule>
    <cfRule type="cellIs" dxfId="222" priority="5" operator="equal">
      <formula>"Blocked"</formula>
    </cfRule>
    <cfRule type="cellIs" dxfId="221" priority="6" operator="equal">
      <formula>"Fail"</formula>
    </cfRule>
  </conditionalFormatting>
  <dataValidations count="1">
    <dataValidation type="list" allowBlank="1" showInputMessage="1" showErrorMessage="1" sqref="L5:L6 L7" xr:uid="{00000000-0002-0000-0F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N9"/>
  <sheetViews>
    <sheetView topLeftCell="A5" zoomScale="60" zoomScaleNormal="60" workbookViewId="0">
      <selection activeCell="G6" sqref="G6"/>
    </sheetView>
  </sheetViews>
  <sheetFormatPr defaultColWidth="8.7265625" defaultRowHeight="15.5" x14ac:dyDescent="0.45"/>
  <cols>
    <col min="1" max="1" width="8.7265625" style="43" customWidth="1"/>
    <col min="2" max="2" width="10.26953125" style="43" customWidth="1"/>
    <col min="3" max="3" width="15.1796875" style="80" customWidth="1"/>
    <col min="4" max="4" width="14.54296875" style="43" customWidth="1"/>
    <col min="5" max="5" width="11.26953125" style="81" customWidth="1"/>
    <col min="6" max="6" width="55.54296875" style="43" customWidth="1"/>
    <col min="7" max="7" width="50.453125" style="43" customWidth="1"/>
    <col min="8" max="8" width="58.54296875" style="43" customWidth="1"/>
    <col min="9" max="9" width="56.26953125" style="44" customWidth="1"/>
    <col min="10" max="10" width="47.81640625" style="44" customWidth="1"/>
    <col min="11" max="11" width="13.1796875" style="44" customWidth="1"/>
    <col min="12" max="12" width="19.453125" style="43" customWidth="1"/>
    <col min="13" max="13" width="18.81640625" style="43" customWidth="1"/>
    <col min="14" max="14" width="16.54296875" style="43" customWidth="1"/>
    <col min="15" max="61" width="8.7265625" style="43" customWidth="1"/>
    <col min="62" max="16384" width="8.7265625" style="43"/>
  </cols>
  <sheetData>
    <row r="1" spans="1:14" ht="16.5" customHeight="1" thickBot="1" x14ac:dyDescent="0.5"/>
    <row r="2" spans="1:14" ht="29.25" customHeight="1" thickBot="1" x14ac:dyDescent="0.5">
      <c r="B2" s="226" t="s">
        <v>864</v>
      </c>
      <c r="C2" s="227"/>
      <c r="D2" s="227"/>
      <c r="E2" s="227"/>
      <c r="F2" s="227"/>
      <c r="G2" s="227"/>
      <c r="H2" s="227"/>
      <c r="I2" s="227"/>
      <c r="J2" s="227"/>
      <c r="K2" s="227"/>
      <c r="L2" s="227"/>
      <c r="M2" s="228"/>
    </row>
    <row r="3" spans="1:14" ht="16.5" customHeight="1" thickBot="1" x14ac:dyDescent="0.5">
      <c r="B3" s="229" t="s">
        <v>70</v>
      </c>
      <c r="C3" s="224"/>
      <c r="D3" s="68"/>
      <c r="E3" s="69"/>
      <c r="F3" s="223" t="s">
        <v>865</v>
      </c>
      <c r="G3" s="224"/>
      <c r="H3" s="224"/>
      <c r="I3" s="224"/>
      <c r="J3" s="224"/>
      <c r="K3" s="224"/>
      <c r="L3" s="224"/>
      <c r="M3" s="225"/>
    </row>
    <row r="4" spans="1:14" ht="32.25" customHeight="1" thickBot="1" x14ac:dyDescent="0.5">
      <c r="A4"/>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1:14" ht="409.5" customHeight="1" x14ac:dyDescent="0.45">
      <c r="B5" s="127">
        <v>1</v>
      </c>
      <c r="C5" s="219" t="s">
        <v>383</v>
      </c>
      <c r="D5" s="219" t="s">
        <v>17</v>
      </c>
      <c r="E5" s="220">
        <v>3</v>
      </c>
      <c r="F5" s="222" t="s">
        <v>866</v>
      </c>
      <c r="G5" s="222"/>
      <c r="H5" s="53"/>
      <c r="I5" s="222" t="s">
        <v>867</v>
      </c>
      <c r="J5" s="222" t="s">
        <v>868</v>
      </c>
      <c r="K5" s="120"/>
      <c r="L5" s="121"/>
      <c r="M5" s="120"/>
      <c r="N5" s="122"/>
    </row>
    <row r="6" spans="1:14" ht="409.5" customHeight="1" x14ac:dyDescent="0.45">
      <c r="B6" s="50">
        <v>2</v>
      </c>
      <c r="C6" s="51" t="s">
        <v>810</v>
      </c>
      <c r="D6" s="51" t="s">
        <v>17</v>
      </c>
      <c r="E6" s="52">
        <v>3</v>
      </c>
      <c r="F6" s="79" t="s">
        <v>869</v>
      </c>
      <c r="G6" s="79" t="s">
        <v>870</v>
      </c>
      <c r="H6" s="53"/>
      <c r="I6" s="79" t="s">
        <v>871</v>
      </c>
      <c r="J6" s="79" t="s">
        <v>872</v>
      </c>
      <c r="K6" s="53"/>
      <c r="L6" s="54"/>
      <c r="M6" s="53"/>
      <c r="N6" s="55"/>
    </row>
    <row r="7" spans="1:14" ht="110.25" customHeight="1" x14ac:dyDescent="0.45">
      <c r="B7" s="50">
        <v>4</v>
      </c>
      <c r="C7" s="51" t="s">
        <v>164</v>
      </c>
      <c r="D7" s="51" t="s">
        <v>17</v>
      </c>
      <c r="E7" s="52">
        <v>15</v>
      </c>
      <c r="F7" s="79" t="s">
        <v>873</v>
      </c>
      <c r="G7" s="53" t="s">
        <v>874</v>
      </c>
      <c r="H7" s="53"/>
      <c r="I7" s="53" t="s">
        <v>875</v>
      </c>
      <c r="J7" s="53" t="s">
        <v>876</v>
      </c>
      <c r="K7" s="53"/>
      <c r="L7" s="54"/>
      <c r="M7" s="53"/>
      <c r="N7" s="55"/>
    </row>
    <row r="8" spans="1:14" s="46" customFormat="1" ht="32.25" customHeight="1" thickBot="1" x14ac:dyDescent="0.5">
      <c r="A8" s="43"/>
      <c r="B8" s="59">
        <v>5</v>
      </c>
      <c r="C8" s="60" t="s">
        <v>16</v>
      </c>
      <c r="D8" s="60" t="s">
        <v>103</v>
      </c>
      <c r="E8" s="61">
        <v>10</v>
      </c>
      <c r="F8" s="62" t="s">
        <v>57</v>
      </c>
      <c r="G8" s="62" t="s">
        <v>877</v>
      </c>
      <c r="H8" s="53"/>
      <c r="I8" s="62" t="s">
        <v>59</v>
      </c>
      <c r="J8" s="62" t="s">
        <v>60</v>
      </c>
      <c r="K8" s="62"/>
      <c r="L8" s="63"/>
      <c r="M8" s="62"/>
      <c r="N8" s="64"/>
    </row>
    <row r="9" spans="1:14" x14ac:dyDescent="0.45">
      <c r="F9" s="175"/>
      <c r="G9" s="175"/>
      <c r="H9" s="175"/>
      <c r="I9" s="175"/>
      <c r="J9" s="175"/>
      <c r="K9" s="175"/>
      <c r="L9" s="175"/>
      <c r="M9" s="175"/>
    </row>
  </sheetData>
  <mergeCells count="3">
    <mergeCell ref="F3:M3"/>
    <mergeCell ref="B2:M2"/>
    <mergeCell ref="B3:C3"/>
  </mergeCells>
  <conditionalFormatting sqref="K5:K7">
    <cfRule type="cellIs" dxfId="220" priority="15" operator="equal">
      <formula>"Not Tested"</formula>
    </cfRule>
    <cfRule type="cellIs" dxfId="219" priority="16" operator="equal">
      <formula>"Not Applicable"</formula>
    </cfRule>
    <cfRule type="cellIs" dxfId="218" priority="17" operator="equal">
      <formula>"Pass"</formula>
    </cfRule>
    <cfRule type="cellIs" dxfId="217" priority="18" operator="equal">
      <formula>"Not Tested"</formula>
    </cfRule>
    <cfRule type="cellIs" dxfId="216" priority="19" operator="equal">
      <formula>"Not Applicable"</formula>
    </cfRule>
    <cfRule type="cellIs" dxfId="215" priority="20" operator="equal">
      <formula>"Fail"</formula>
    </cfRule>
    <cfRule type="cellIs" dxfId="214" priority="21" operator="equal">
      <formula>"Pass"</formula>
    </cfRule>
  </conditionalFormatting>
  <conditionalFormatting sqref="L5:L8">
    <cfRule type="cellIs" dxfId="213" priority="1" operator="equal">
      <formula>"Cancelled"</formula>
    </cfRule>
    <cfRule type="cellIs" dxfId="212" priority="2" operator="equal">
      <formula>"N/A"</formula>
    </cfRule>
    <cfRule type="cellIs" dxfId="211" priority="3" operator="equal">
      <formula>"Pass"</formula>
    </cfRule>
    <cfRule type="cellIs" dxfId="210" priority="4" operator="equal">
      <formula>"In-Progress"</formula>
    </cfRule>
    <cfRule type="cellIs" dxfId="209" priority="5" operator="equal">
      <formula>"Blocked"</formula>
    </cfRule>
    <cfRule type="cellIs" dxfId="208" priority="6" operator="equal">
      <formula>"Fail"</formula>
    </cfRule>
    <cfRule type="cellIs" dxfId="207" priority="7" operator="equal">
      <formula>"Pass"</formula>
    </cfRule>
  </conditionalFormatting>
  <dataValidations count="1">
    <dataValidation type="list" allowBlank="1" showInputMessage="1" showErrorMessage="1" sqref="L5:L8" xr:uid="{00000000-0002-0000-10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A1:N21"/>
  <sheetViews>
    <sheetView topLeftCell="A17" zoomScale="60" zoomScaleNormal="60" workbookViewId="0">
      <selection activeCell="H6" sqref="H6"/>
    </sheetView>
  </sheetViews>
  <sheetFormatPr defaultColWidth="8.7265625" defaultRowHeight="15.5" x14ac:dyDescent="0.45"/>
  <cols>
    <col min="1" max="1" width="8.7265625" style="2" customWidth="1"/>
    <col min="2" max="2" width="10.26953125" style="2" customWidth="1"/>
    <col min="3" max="3" width="15.1796875" style="8" customWidth="1"/>
    <col min="4" max="4" width="14.54296875" style="2" customWidth="1"/>
    <col min="5" max="5" width="11.26953125" style="36" customWidth="1"/>
    <col min="6" max="6" width="55.54296875" style="2" customWidth="1"/>
    <col min="7" max="7" width="50.453125" style="2" customWidth="1"/>
    <col min="8" max="8" width="58.54296875" style="2" customWidth="1"/>
    <col min="9" max="9" width="56.26953125" style="1" customWidth="1"/>
    <col min="10" max="10" width="47.7265625" style="1" customWidth="1"/>
    <col min="11" max="11" width="13.1796875" style="1" customWidth="1"/>
    <col min="12" max="12" width="19.453125" style="2" customWidth="1"/>
    <col min="13" max="13" width="18.81640625" style="2" customWidth="1"/>
    <col min="14" max="14" width="15.1796875" style="2" customWidth="1"/>
    <col min="15" max="61" width="8.7265625" style="2" customWidth="1"/>
    <col min="62" max="16384" width="8.7265625" style="2"/>
  </cols>
  <sheetData>
    <row r="1" spans="1:14" ht="16.5" customHeight="1" thickBot="1" x14ac:dyDescent="0.5"/>
    <row r="2" spans="1:14" ht="29.25" customHeight="1" thickBot="1" x14ac:dyDescent="0.5">
      <c r="B2" s="226" t="s">
        <v>878</v>
      </c>
      <c r="C2" s="227"/>
      <c r="D2" s="227"/>
      <c r="E2" s="227"/>
      <c r="F2" s="227"/>
      <c r="G2" s="227"/>
      <c r="H2" s="227"/>
      <c r="I2" s="227"/>
      <c r="J2" s="227"/>
      <c r="K2" s="227"/>
      <c r="L2" s="227"/>
      <c r="M2" s="228"/>
    </row>
    <row r="3" spans="1:14" ht="16.5" customHeight="1" thickBot="1" x14ac:dyDescent="0.5">
      <c r="B3" s="243" t="s">
        <v>70</v>
      </c>
      <c r="C3" s="227"/>
      <c r="D3" s="178"/>
      <c r="E3" s="179"/>
      <c r="F3" s="242" t="s">
        <v>879</v>
      </c>
      <c r="G3" s="227"/>
      <c r="H3" s="227"/>
      <c r="I3" s="227"/>
      <c r="J3" s="227"/>
      <c r="K3" s="227"/>
      <c r="L3" s="227"/>
      <c r="M3" s="232"/>
    </row>
    <row r="4" spans="1:14" ht="48" customHeight="1" thickBot="1" x14ac:dyDescent="0.5">
      <c r="A4"/>
      <c r="B4" s="180" t="s">
        <v>3</v>
      </c>
      <c r="C4" s="181" t="s">
        <v>4</v>
      </c>
      <c r="D4" s="182" t="s">
        <v>5</v>
      </c>
      <c r="E4" s="49" t="s">
        <v>6</v>
      </c>
      <c r="F4" s="181" t="s">
        <v>7</v>
      </c>
      <c r="G4" s="182" t="s">
        <v>8</v>
      </c>
      <c r="H4" s="182" t="s">
        <v>9</v>
      </c>
      <c r="I4" s="181" t="s">
        <v>10</v>
      </c>
      <c r="J4" s="183" t="s">
        <v>11</v>
      </c>
      <c r="K4" s="124" t="s">
        <v>12</v>
      </c>
      <c r="L4" s="124" t="s">
        <v>13</v>
      </c>
      <c r="M4" s="124" t="s">
        <v>14</v>
      </c>
      <c r="N4" s="126" t="s">
        <v>15</v>
      </c>
    </row>
    <row r="5" spans="1:14" ht="157.5" customHeight="1" x14ac:dyDescent="0.45">
      <c r="B5" s="127">
        <v>1</v>
      </c>
      <c r="C5" s="117" t="s">
        <v>810</v>
      </c>
      <c r="D5" s="117" t="s">
        <v>17</v>
      </c>
      <c r="E5" s="118">
        <v>5</v>
      </c>
      <c r="F5" s="120" t="s">
        <v>880</v>
      </c>
      <c r="G5" s="120" t="s">
        <v>881</v>
      </c>
      <c r="H5" s="53"/>
      <c r="I5" s="184" t="s">
        <v>882</v>
      </c>
      <c r="J5" s="120" t="s">
        <v>883</v>
      </c>
      <c r="K5" s="120"/>
      <c r="L5" s="121"/>
      <c r="M5" s="120"/>
      <c r="N5" s="122"/>
    </row>
    <row r="6" spans="1:14" ht="157.5" customHeight="1" x14ac:dyDescent="0.45">
      <c r="B6" s="185">
        <v>2</v>
      </c>
      <c r="C6" s="51" t="s">
        <v>810</v>
      </c>
      <c r="D6" s="51" t="s">
        <v>17</v>
      </c>
      <c r="E6" s="52">
        <v>3</v>
      </c>
      <c r="F6" s="53" t="s">
        <v>884</v>
      </c>
      <c r="G6" s="53" t="s">
        <v>885</v>
      </c>
      <c r="H6" s="53" t="s">
        <v>886</v>
      </c>
      <c r="I6" s="16" t="s">
        <v>887</v>
      </c>
      <c r="J6" s="53" t="s">
        <v>888</v>
      </c>
      <c r="K6" s="53"/>
      <c r="L6" s="54"/>
      <c r="M6" s="53"/>
      <c r="N6" s="55"/>
    </row>
    <row r="7" spans="1:14" ht="195" customHeight="1" x14ac:dyDescent="0.45">
      <c r="B7" s="185">
        <v>3</v>
      </c>
      <c r="C7" s="51" t="s">
        <v>810</v>
      </c>
      <c r="D7" s="51" t="s">
        <v>103</v>
      </c>
      <c r="E7" s="52">
        <v>10</v>
      </c>
      <c r="F7" s="53" t="s">
        <v>889</v>
      </c>
      <c r="G7" s="53" t="s">
        <v>885</v>
      </c>
      <c r="H7" s="53" t="s">
        <v>886</v>
      </c>
      <c r="I7" s="16" t="s">
        <v>890</v>
      </c>
      <c r="J7" s="53" t="s">
        <v>891</v>
      </c>
      <c r="K7" s="53"/>
      <c r="L7" s="54"/>
      <c r="M7" s="53"/>
      <c r="N7" s="55"/>
    </row>
    <row r="8" spans="1:14" ht="240" customHeight="1" x14ac:dyDescent="0.45">
      <c r="B8" s="185">
        <v>4</v>
      </c>
      <c r="C8" s="51" t="s">
        <v>810</v>
      </c>
      <c r="D8" s="51" t="s">
        <v>17</v>
      </c>
      <c r="E8" s="52">
        <v>20</v>
      </c>
      <c r="F8" s="53" t="s">
        <v>892</v>
      </c>
      <c r="G8" s="53" t="s">
        <v>885</v>
      </c>
      <c r="H8" s="53" t="s">
        <v>886</v>
      </c>
      <c r="I8" s="16" t="s">
        <v>893</v>
      </c>
      <c r="J8" s="53" t="s">
        <v>894</v>
      </c>
      <c r="K8" s="53"/>
      <c r="L8" s="54"/>
      <c r="M8" s="53"/>
      <c r="N8" s="55"/>
    </row>
    <row r="9" spans="1:14" ht="157.5" customHeight="1" x14ac:dyDescent="0.45">
      <c r="B9" s="185">
        <v>5</v>
      </c>
      <c r="C9" s="51" t="s">
        <v>810</v>
      </c>
      <c r="D9" s="51" t="s">
        <v>17</v>
      </c>
      <c r="E9" s="52">
        <v>10</v>
      </c>
      <c r="F9" s="53" t="s">
        <v>895</v>
      </c>
      <c r="G9" s="53" t="s">
        <v>896</v>
      </c>
      <c r="H9" s="53" t="s">
        <v>897</v>
      </c>
      <c r="I9" s="16" t="s">
        <v>898</v>
      </c>
      <c r="J9" s="53" t="s">
        <v>888</v>
      </c>
      <c r="K9" s="53"/>
      <c r="L9" s="54"/>
      <c r="M9" s="53"/>
      <c r="N9" s="55"/>
    </row>
    <row r="10" spans="1:14" ht="210" customHeight="1" x14ac:dyDescent="0.45">
      <c r="B10" s="185">
        <v>6</v>
      </c>
      <c r="C10" s="51" t="s">
        <v>810</v>
      </c>
      <c r="D10" s="51" t="s">
        <v>103</v>
      </c>
      <c r="E10" s="52">
        <v>10</v>
      </c>
      <c r="F10" s="53" t="s">
        <v>899</v>
      </c>
      <c r="G10" s="53" t="s">
        <v>900</v>
      </c>
      <c r="H10" s="53" t="s">
        <v>897</v>
      </c>
      <c r="I10" s="16" t="s">
        <v>901</v>
      </c>
      <c r="J10" s="53" t="s">
        <v>902</v>
      </c>
      <c r="K10" s="53"/>
      <c r="L10" s="54"/>
      <c r="M10" s="53"/>
      <c r="N10" s="55"/>
    </row>
    <row r="11" spans="1:14" ht="378" customHeight="1" x14ac:dyDescent="0.45">
      <c r="B11" s="185">
        <v>7</v>
      </c>
      <c r="C11" s="51" t="s">
        <v>810</v>
      </c>
      <c r="D11" s="51" t="s">
        <v>17</v>
      </c>
      <c r="E11" s="52">
        <v>20</v>
      </c>
      <c r="F11" s="53" t="s">
        <v>903</v>
      </c>
      <c r="G11" s="53" t="s">
        <v>900</v>
      </c>
      <c r="H11" s="53" t="s">
        <v>897</v>
      </c>
      <c r="I11" s="16" t="s">
        <v>904</v>
      </c>
      <c r="J11" s="53" t="s">
        <v>905</v>
      </c>
      <c r="K11" s="53"/>
      <c r="L11" s="54"/>
      <c r="M11" s="53"/>
      <c r="N11" s="55"/>
    </row>
    <row r="12" spans="1:14" ht="157.5" customHeight="1" x14ac:dyDescent="0.45">
      <c r="B12" s="185">
        <v>8</v>
      </c>
      <c r="C12" s="51" t="s">
        <v>810</v>
      </c>
      <c r="D12" s="51" t="s">
        <v>17</v>
      </c>
      <c r="E12" s="52">
        <v>10</v>
      </c>
      <c r="F12" s="53" t="s">
        <v>906</v>
      </c>
      <c r="G12" s="53" t="s">
        <v>907</v>
      </c>
      <c r="H12" s="53" t="s">
        <v>908</v>
      </c>
      <c r="I12" s="16" t="s">
        <v>909</v>
      </c>
      <c r="J12" s="53" t="s">
        <v>888</v>
      </c>
      <c r="K12" s="53"/>
      <c r="L12" s="54"/>
      <c r="M12" s="53"/>
      <c r="N12" s="55"/>
    </row>
    <row r="13" spans="1:14" ht="240" customHeight="1" x14ac:dyDescent="0.45">
      <c r="B13" s="185">
        <v>9</v>
      </c>
      <c r="C13" s="51" t="s">
        <v>810</v>
      </c>
      <c r="D13" s="51" t="s">
        <v>103</v>
      </c>
      <c r="E13" s="52">
        <v>10</v>
      </c>
      <c r="F13" s="53" t="s">
        <v>910</v>
      </c>
      <c r="G13" s="53" t="s">
        <v>911</v>
      </c>
      <c r="H13" s="53" t="s">
        <v>908</v>
      </c>
      <c r="I13" s="16" t="s">
        <v>912</v>
      </c>
      <c r="J13" s="53" t="s">
        <v>913</v>
      </c>
      <c r="K13" s="53"/>
      <c r="L13" s="54"/>
      <c r="M13" s="53"/>
      <c r="N13" s="55"/>
    </row>
    <row r="14" spans="1:14" ht="165" customHeight="1" x14ac:dyDescent="0.45">
      <c r="B14" s="185">
        <v>10</v>
      </c>
      <c r="C14" s="51" t="s">
        <v>810</v>
      </c>
      <c r="D14" s="51" t="s">
        <v>103</v>
      </c>
      <c r="E14" s="52">
        <v>10</v>
      </c>
      <c r="F14" s="53" t="s">
        <v>914</v>
      </c>
      <c r="G14" s="53" t="s">
        <v>911</v>
      </c>
      <c r="H14" s="53" t="s">
        <v>908</v>
      </c>
      <c r="I14" s="16" t="s">
        <v>915</v>
      </c>
      <c r="J14" s="53" t="s">
        <v>916</v>
      </c>
      <c r="K14" s="53"/>
      <c r="L14" s="54"/>
      <c r="M14" s="53"/>
      <c r="N14" s="55"/>
    </row>
    <row r="15" spans="1:14" ht="165" customHeight="1" x14ac:dyDescent="0.45">
      <c r="B15" s="185">
        <v>11</v>
      </c>
      <c r="C15" s="51" t="s">
        <v>810</v>
      </c>
      <c r="D15" s="51" t="s">
        <v>103</v>
      </c>
      <c r="E15" s="52">
        <v>10</v>
      </c>
      <c r="F15" s="53" t="s">
        <v>917</v>
      </c>
      <c r="G15" s="53" t="s">
        <v>911</v>
      </c>
      <c r="H15" s="53" t="s">
        <v>908</v>
      </c>
      <c r="I15" s="16" t="s">
        <v>918</v>
      </c>
      <c r="J15" s="53" t="s">
        <v>919</v>
      </c>
      <c r="K15" s="53"/>
      <c r="L15" s="54"/>
      <c r="M15" s="53"/>
      <c r="N15" s="55"/>
    </row>
    <row r="16" spans="1:14" ht="255" customHeight="1" x14ac:dyDescent="0.45">
      <c r="B16" s="185">
        <v>12</v>
      </c>
      <c r="C16" s="51" t="s">
        <v>810</v>
      </c>
      <c r="D16" s="51" t="s">
        <v>17</v>
      </c>
      <c r="E16" s="52">
        <v>20</v>
      </c>
      <c r="F16" s="53" t="s">
        <v>920</v>
      </c>
      <c r="G16" s="53" t="s">
        <v>911</v>
      </c>
      <c r="H16" s="53" t="s">
        <v>908</v>
      </c>
      <c r="I16" s="16" t="s">
        <v>921</v>
      </c>
      <c r="J16" s="53" t="s">
        <v>922</v>
      </c>
      <c r="K16" s="53"/>
      <c r="L16" s="54"/>
      <c r="M16" s="53"/>
      <c r="N16" s="55"/>
    </row>
    <row r="17" spans="2:14" ht="157.5" customHeight="1" x14ac:dyDescent="0.45">
      <c r="B17" s="185">
        <v>13</v>
      </c>
      <c r="C17" s="51" t="s">
        <v>810</v>
      </c>
      <c r="D17" s="51" t="s">
        <v>17</v>
      </c>
      <c r="E17" s="52">
        <v>10</v>
      </c>
      <c r="F17" s="53" t="s">
        <v>923</v>
      </c>
      <c r="G17" s="53" t="s">
        <v>924</v>
      </c>
      <c r="H17" s="53" t="s">
        <v>925</v>
      </c>
      <c r="I17" s="16" t="s">
        <v>926</v>
      </c>
      <c r="J17" s="53" t="s">
        <v>888</v>
      </c>
      <c r="K17" s="53"/>
      <c r="L17" s="54"/>
      <c r="M17" s="53"/>
      <c r="N17" s="55"/>
    </row>
    <row r="18" spans="2:14" ht="157.5" customHeight="1" x14ac:dyDescent="0.45">
      <c r="B18" s="185">
        <v>14</v>
      </c>
      <c r="C18" s="51" t="s">
        <v>810</v>
      </c>
      <c r="D18" s="51" t="s">
        <v>103</v>
      </c>
      <c r="E18" s="52">
        <v>10</v>
      </c>
      <c r="F18" s="53" t="s">
        <v>927</v>
      </c>
      <c r="G18" s="53" t="s">
        <v>924</v>
      </c>
      <c r="H18" s="53" t="s">
        <v>928</v>
      </c>
      <c r="I18" s="16" t="s">
        <v>929</v>
      </c>
      <c r="J18" s="53" t="s">
        <v>930</v>
      </c>
      <c r="K18" s="53"/>
      <c r="L18" s="54"/>
      <c r="M18" s="53"/>
      <c r="N18" s="55"/>
    </row>
    <row r="19" spans="2:14" ht="157.5" customHeight="1" x14ac:dyDescent="0.45">
      <c r="B19" s="50">
        <v>15</v>
      </c>
      <c r="C19" s="51" t="s">
        <v>810</v>
      </c>
      <c r="D19" s="51" t="s">
        <v>103</v>
      </c>
      <c r="E19" s="52">
        <v>10</v>
      </c>
      <c r="F19" s="79" t="s">
        <v>931</v>
      </c>
      <c r="G19" s="79" t="s">
        <v>924</v>
      </c>
      <c r="H19" s="53" t="s">
        <v>932</v>
      </c>
      <c r="I19" s="103" t="s">
        <v>933</v>
      </c>
      <c r="J19" s="103" t="s">
        <v>934</v>
      </c>
      <c r="K19" s="79"/>
      <c r="L19" s="86"/>
      <c r="M19" s="53"/>
      <c r="N19" s="55"/>
    </row>
    <row r="20" spans="2:14" ht="180" customHeight="1" x14ac:dyDescent="0.45">
      <c r="B20" s="50">
        <v>16</v>
      </c>
      <c r="C20" s="51" t="s">
        <v>810</v>
      </c>
      <c r="D20" s="51" t="s">
        <v>17</v>
      </c>
      <c r="E20" s="52">
        <v>20</v>
      </c>
      <c r="F20" s="79" t="s">
        <v>935</v>
      </c>
      <c r="G20" s="79" t="s">
        <v>924</v>
      </c>
      <c r="H20" s="53" t="s">
        <v>928</v>
      </c>
      <c r="I20" s="103" t="s">
        <v>936</v>
      </c>
      <c r="J20" s="103" t="s">
        <v>937</v>
      </c>
      <c r="K20" s="79"/>
      <c r="L20" s="86"/>
      <c r="M20" s="53"/>
      <c r="N20" s="55"/>
    </row>
    <row r="21" spans="2:14" ht="32.25" customHeight="1" thickBot="1" x14ac:dyDescent="0.5">
      <c r="B21" s="59">
        <v>17</v>
      </c>
      <c r="C21" s="60" t="s">
        <v>810</v>
      </c>
      <c r="D21" s="60" t="s">
        <v>103</v>
      </c>
      <c r="E21" s="61">
        <v>10</v>
      </c>
      <c r="F21" s="94" t="s">
        <v>57</v>
      </c>
      <c r="G21" s="94" t="s">
        <v>68</v>
      </c>
      <c r="H21" s="53"/>
      <c r="I21" s="94" t="s">
        <v>59</v>
      </c>
      <c r="J21" s="94" t="s">
        <v>60</v>
      </c>
      <c r="K21" s="94"/>
      <c r="L21" s="96"/>
      <c r="M21" s="62"/>
      <c r="N21" s="64"/>
    </row>
  </sheetData>
  <mergeCells count="3">
    <mergeCell ref="F3:M3"/>
    <mergeCell ref="B2:M2"/>
    <mergeCell ref="B3:C3"/>
  </mergeCells>
  <conditionalFormatting sqref="K5:K20">
    <cfRule type="cellIs" dxfId="206" priority="8" operator="equal">
      <formula>"Not Tested"</formula>
    </cfRule>
    <cfRule type="cellIs" dxfId="205" priority="9" operator="equal">
      <formula>"Not Applicable"</formula>
    </cfRule>
    <cfRule type="cellIs" dxfId="204" priority="10" operator="equal">
      <formula>"Pass"</formula>
    </cfRule>
    <cfRule type="cellIs" dxfId="203" priority="11" operator="equal">
      <formula>"Not Tested"</formula>
    </cfRule>
    <cfRule type="cellIs" dxfId="202" priority="12" operator="equal">
      <formula>"Not Applicable"</formula>
    </cfRule>
    <cfRule type="cellIs" dxfId="201" priority="13" operator="equal">
      <formula>"Fail"</formula>
    </cfRule>
    <cfRule type="cellIs" dxfId="200" priority="14" operator="equal">
      <formula>"Pass"</formula>
    </cfRule>
  </conditionalFormatting>
  <conditionalFormatting sqref="L5:L21">
    <cfRule type="cellIs" dxfId="199" priority="1" operator="equal">
      <formula>"Cancelled"</formula>
    </cfRule>
    <cfRule type="cellIs" dxfId="198" priority="2" operator="equal">
      <formula>"N/A"</formula>
    </cfRule>
    <cfRule type="cellIs" dxfId="197" priority="3" operator="equal">
      <formula>"Pass"</formula>
    </cfRule>
    <cfRule type="cellIs" dxfId="196" priority="4" operator="equal">
      <formula>"In-Progress"</formula>
    </cfRule>
    <cfRule type="cellIs" dxfId="195" priority="5" operator="equal">
      <formula>"Blocked"</formula>
    </cfRule>
    <cfRule type="cellIs" dxfId="194" priority="6" operator="equal">
      <formula>"Fail"</formula>
    </cfRule>
    <cfRule type="cellIs" dxfId="193" priority="7" operator="equal">
      <formula>"Pass"</formula>
    </cfRule>
  </conditionalFormatting>
  <dataValidations count="1">
    <dataValidation type="list" allowBlank="1" showInputMessage="1" showErrorMessage="1" sqref="L5:L21" xr:uid="{00000000-0002-0000-11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B1:N18"/>
  <sheetViews>
    <sheetView topLeftCell="A12" zoomScale="60" zoomScaleNormal="60" workbookViewId="0">
      <selection activeCell="G8" sqref="G8"/>
    </sheetView>
  </sheetViews>
  <sheetFormatPr defaultColWidth="8.7265625" defaultRowHeight="14.5" x14ac:dyDescent="0.35"/>
  <cols>
    <col min="1" max="1" width="3.26953125" customWidth="1"/>
    <col min="2" max="2" width="6.54296875" customWidth="1"/>
    <col min="3" max="3" width="9.1796875" customWidth="1"/>
    <col min="4" max="4" width="13.26953125" customWidth="1"/>
    <col min="5" max="5" width="11.26953125" style="32" customWidth="1"/>
    <col min="6" max="6" width="47.7265625" customWidth="1"/>
    <col min="7" max="7" width="44.26953125" customWidth="1"/>
    <col min="8" max="8" width="49.1796875" customWidth="1"/>
    <col min="9" max="10" width="47.1796875" customWidth="1"/>
    <col min="11" max="11" width="16.81640625" customWidth="1"/>
    <col min="12" max="12" width="19.453125" customWidth="1"/>
    <col min="13" max="13" width="18.81640625" customWidth="1"/>
    <col min="14" max="14" width="15.81640625" customWidth="1"/>
  </cols>
  <sheetData>
    <row r="1" spans="2:14" ht="15.75" customHeight="1" thickBot="1" x14ac:dyDescent="0.4"/>
    <row r="2" spans="2:14" ht="29.25" customHeight="1" thickBot="1" x14ac:dyDescent="0.4">
      <c r="B2" s="226" t="s">
        <v>938</v>
      </c>
      <c r="C2" s="227"/>
      <c r="D2" s="227"/>
      <c r="E2" s="227"/>
      <c r="F2" s="227"/>
      <c r="G2" s="227"/>
      <c r="H2" s="227"/>
      <c r="I2" s="227"/>
      <c r="J2" s="227"/>
      <c r="K2" s="227"/>
      <c r="L2" s="227"/>
      <c r="M2" s="228"/>
    </row>
    <row r="3" spans="2:14" ht="16.5" customHeight="1" thickBot="1" x14ac:dyDescent="0.4">
      <c r="B3" s="229" t="s">
        <v>1</v>
      </c>
      <c r="C3" s="224"/>
      <c r="D3" s="68"/>
      <c r="E3" s="69"/>
      <c r="F3" s="223" t="s">
        <v>939</v>
      </c>
      <c r="G3" s="224"/>
      <c r="H3" s="224"/>
      <c r="I3" s="224"/>
      <c r="J3" s="224"/>
      <c r="K3" s="224"/>
      <c r="L3" s="224"/>
      <c r="M3" s="225"/>
    </row>
    <row r="4" spans="2:14" ht="48" customHeight="1" thickBot="1" x14ac:dyDescent="0.4">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2:14" ht="141.75" customHeight="1" x14ac:dyDescent="0.45">
      <c r="B5" s="127">
        <v>1</v>
      </c>
      <c r="C5" s="117" t="s">
        <v>383</v>
      </c>
      <c r="D5" s="117" t="s">
        <v>17</v>
      </c>
      <c r="E5" s="118">
        <v>3</v>
      </c>
      <c r="F5" s="119" t="s">
        <v>940</v>
      </c>
      <c r="G5" s="120" t="s">
        <v>941</v>
      </c>
      <c r="H5" s="53" t="s">
        <v>942</v>
      </c>
      <c r="I5" s="120" t="s">
        <v>943</v>
      </c>
      <c r="J5" s="120" t="s">
        <v>944</v>
      </c>
      <c r="K5" s="120"/>
      <c r="L5" s="121"/>
      <c r="M5" s="121"/>
      <c r="N5" s="174"/>
    </row>
    <row r="6" spans="2:14" ht="110.25" customHeight="1" x14ac:dyDescent="0.45">
      <c r="B6" s="50">
        <v>2</v>
      </c>
      <c r="C6" s="51" t="s">
        <v>383</v>
      </c>
      <c r="D6" s="51" t="s">
        <v>26</v>
      </c>
      <c r="E6" s="52">
        <v>3</v>
      </c>
      <c r="F6" s="79" t="s">
        <v>945</v>
      </c>
      <c r="G6" s="53" t="s">
        <v>941</v>
      </c>
      <c r="H6" s="53" t="s">
        <v>946</v>
      </c>
      <c r="I6" s="70" t="s">
        <v>947</v>
      </c>
      <c r="J6" s="70" t="s">
        <v>948</v>
      </c>
      <c r="K6" s="70"/>
      <c r="L6" s="54"/>
      <c r="M6" s="54"/>
      <c r="N6" s="72"/>
    </row>
    <row r="7" spans="2:14" ht="110.25" customHeight="1" x14ac:dyDescent="0.45">
      <c r="B7" s="50">
        <v>3</v>
      </c>
      <c r="C7" s="51" t="s">
        <v>383</v>
      </c>
      <c r="D7" s="51" t="s">
        <v>26</v>
      </c>
      <c r="E7" s="52">
        <v>3</v>
      </c>
      <c r="F7" s="79" t="s">
        <v>949</v>
      </c>
      <c r="G7" s="53" t="s">
        <v>941</v>
      </c>
      <c r="H7" s="53" t="s">
        <v>950</v>
      </c>
      <c r="I7" s="70" t="s">
        <v>951</v>
      </c>
      <c r="J7" s="70" t="s">
        <v>952</v>
      </c>
      <c r="K7" s="70"/>
      <c r="L7" s="54"/>
      <c r="M7" s="54"/>
      <c r="N7" s="72"/>
    </row>
    <row r="8" spans="2:14" ht="252" customHeight="1" x14ac:dyDescent="0.45">
      <c r="B8" s="50">
        <v>4</v>
      </c>
      <c r="C8" s="51" t="s">
        <v>383</v>
      </c>
      <c r="D8" s="51" t="s">
        <v>17</v>
      </c>
      <c r="E8" s="52">
        <v>10</v>
      </c>
      <c r="F8" s="79" t="s">
        <v>953</v>
      </c>
      <c r="G8" s="53"/>
      <c r="H8" s="53" t="s">
        <v>954</v>
      </c>
      <c r="I8" s="53"/>
      <c r="J8" s="53" t="s">
        <v>955</v>
      </c>
      <c r="K8" s="53"/>
      <c r="L8" s="54"/>
      <c r="M8" s="54"/>
      <c r="N8" s="72"/>
    </row>
    <row r="9" spans="2:14" ht="47.25" customHeight="1" x14ac:dyDescent="0.45">
      <c r="B9" s="50">
        <v>5</v>
      </c>
      <c r="C9" s="51" t="s">
        <v>383</v>
      </c>
      <c r="D9" s="51" t="s">
        <v>17</v>
      </c>
      <c r="E9" s="52">
        <v>10</v>
      </c>
      <c r="F9" s="79" t="s">
        <v>956</v>
      </c>
      <c r="G9" s="53" t="s">
        <v>957</v>
      </c>
      <c r="H9" s="53" t="s">
        <v>958</v>
      </c>
      <c r="I9" s="53"/>
      <c r="J9" s="53" t="s">
        <v>959</v>
      </c>
      <c r="K9" s="53"/>
      <c r="L9" s="54"/>
      <c r="M9" s="54"/>
      <c r="N9" s="72"/>
    </row>
    <row r="10" spans="2:14" ht="157.5" customHeight="1" x14ac:dyDescent="0.45">
      <c r="B10" s="50">
        <v>6</v>
      </c>
      <c r="C10" s="51" t="s">
        <v>383</v>
      </c>
      <c r="D10" s="51" t="s">
        <v>26</v>
      </c>
      <c r="E10" s="52">
        <v>5</v>
      </c>
      <c r="F10" s="79" t="s">
        <v>960</v>
      </c>
      <c r="G10" s="53" t="s">
        <v>961</v>
      </c>
      <c r="H10" s="53" t="s">
        <v>962</v>
      </c>
      <c r="I10" s="53" t="s">
        <v>963</v>
      </c>
      <c r="J10" s="53" t="s">
        <v>964</v>
      </c>
      <c r="K10" s="53"/>
      <c r="L10" s="54"/>
      <c r="M10" s="54"/>
      <c r="N10" s="72"/>
    </row>
    <row r="11" spans="2:14" ht="173.25" customHeight="1" x14ac:dyDescent="0.45">
      <c r="B11" s="50">
        <v>7</v>
      </c>
      <c r="C11" s="51" t="s">
        <v>383</v>
      </c>
      <c r="D11" s="51" t="s">
        <v>26</v>
      </c>
      <c r="E11" s="52">
        <v>5</v>
      </c>
      <c r="F11" s="79" t="s">
        <v>965</v>
      </c>
      <c r="G11" s="53" t="s">
        <v>966</v>
      </c>
      <c r="H11" s="53" t="s">
        <v>967</v>
      </c>
      <c r="I11" s="53" t="s">
        <v>968</v>
      </c>
      <c r="J11" s="53" t="s">
        <v>969</v>
      </c>
      <c r="K11" s="53"/>
      <c r="L11" s="54"/>
      <c r="M11" s="54"/>
      <c r="N11" s="72"/>
    </row>
    <row r="12" spans="2:14" ht="362.25" customHeight="1" x14ac:dyDescent="0.45">
      <c r="B12" s="50">
        <v>8</v>
      </c>
      <c r="C12" s="51" t="s">
        <v>383</v>
      </c>
      <c r="D12" s="51" t="s">
        <v>17</v>
      </c>
      <c r="E12" s="52">
        <v>3</v>
      </c>
      <c r="F12" s="176" t="s">
        <v>970</v>
      </c>
      <c r="G12" s="53" t="s">
        <v>941</v>
      </c>
      <c r="H12" s="53" t="s">
        <v>971</v>
      </c>
      <c r="I12" s="70" t="s">
        <v>972</v>
      </c>
      <c r="J12" s="70" t="s">
        <v>973</v>
      </c>
      <c r="K12" s="70"/>
      <c r="L12" s="54"/>
      <c r="M12" s="54"/>
      <c r="N12" s="72"/>
    </row>
    <row r="13" spans="2:14" ht="409.5" customHeight="1" x14ac:dyDescent="0.45">
      <c r="B13" s="50">
        <v>9</v>
      </c>
      <c r="C13" s="51" t="s">
        <v>383</v>
      </c>
      <c r="D13" s="51" t="s">
        <v>103</v>
      </c>
      <c r="E13" s="52">
        <v>3</v>
      </c>
      <c r="F13" s="176" t="s">
        <v>974</v>
      </c>
      <c r="G13" s="53" t="s">
        <v>734</v>
      </c>
      <c r="H13" s="53" t="s">
        <v>971</v>
      </c>
      <c r="I13" s="53" t="s">
        <v>975</v>
      </c>
      <c r="J13" s="77" t="s">
        <v>976</v>
      </c>
      <c r="K13" s="70"/>
      <c r="L13" s="54"/>
      <c r="M13" s="54"/>
      <c r="N13" s="72"/>
    </row>
    <row r="14" spans="2:14" ht="32.25" customHeight="1" thickBot="1" x14ac:dyDescent="0.4">
      <c r="B14" s="59">
        <v>10</v>
      </c>
      <c r="C14" s="60" t="s">
        <v>383</v>
      </c>
      <c r="D14" s="60" t="s">
        <v>103</v>
      </c>
      <c r="E14" s="61">
        <v>10</v>
      </c>
      <c r="F14" s="94" t="s">
        <v>977</v>
      </c>
      <c r="G14" s="73" t="s">
        <v>68</v>
      </c>
      <c r="H14" s="53"/>
      <c r="I14" s="62" t="s">
        <v>853</v>
      </c>
      <c r="J14" s="62" t="s">
        <v>854</v>
      </c>
      <c r="K14" s="62"/>
      <c r="L14" s="63"/>
      <c r="M14" s="63"/>
      <c r="N14" s="136"/>
    </row>
    <row r="15" spans="2:14" ht="15.75" customHeight="1" x14ac:dyDescent="0.35">
      <c r="K15" s="29"/>
      <c r="L15" s="29"/>
    </row>
    <row r="16" spans="2:14" ht="15.75" customHeight="1" x14ac:dyDescent="0.35">
      <c r="L16" s="29"/>
    </row>
    <row r="17" spans="12:12" ht="15.75" customHeight="1" x14ac:dyDescent="0.35">
      <c r="L17" s="29"/>
    </row>
    <row r="18" spans="12:12" ht="15.75" customHeight="1" x14ac:dyDescent="0.35">
      <c r="L18" s="29"/>
    </row>
  </sheetData>
  <mergeCells count="3">
    <mergeCell ref="F3:M3"/>
    <mergeCell ref="B2:M2"/>
    <mergeCell ref="B3:C3"/>
  </mergeCells>
  <conditionalFormatting sqref="L5:M14 K15 L15:L18">
    <cfRule type="cellIs" dxfId="192" priority="1" operator="equal">
      <formula>"Cancelled"</formula>
    </cfRule>
    <cfRule type="cellIs" dxfId="191" priority="2" operator="equal">
      <formula>"N/A"</formula>
    </cfRule>
    <cfRule type="cellIs" dxfId="190" priority="3" operator="equal">
      <formula>"Pass"</formula>
    </cfRule>
    <cfRule type="cellIs" dxfId="189" priority="4" operator="equal">
      <formula>"In-Progress"</formula>
    </cfRule>
    <cfRule type="cellIs" dxfId="188" priority="5" operator="equal">
      <formula>"Blocked"</formula>
    </cfRule>
    <cfRule type="cellIs" dxfId="187" priority="6" operator="equal">
      <formula>"Fail"</formula>
    </cfRule>
    <cfRule type="cellIs" dxfId="186" priority="7" operator="equal">
      <formula>"Pass"</formula>
    </cfRule>
  </conditionalFormatting>
  <dataValidations count="1">
    <dataValidation type="list" allowBlank="1" showInputMessage="1" showErrorMessage="1" sqref="L5:L14" xr:uid="{00000000-0002-0000-12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B1:N8"/>
  <sheetViews>
    <sheetView zoomScale="60" zoomScaleNormal="60" workbookViewId="0">
      <selection activeCell="F5" sqref="F5"/>
    </sheetView>
  </sheetViews>
  <sheetFormatPr defaultColWidth="8.7265625" defaultRowHeight="15.5" x14ac:dyDescent="0.45"/>
  <cols>
    <col min="2" max="2" width="10.26953125" style="2" customWidth="1"/>
    <col min="3" max="3" width="15.1796875" style="8" customWidth="1"/>
    <col min="4" max="4" width="14.54296875" style="2" customWidth="1"/>
    <col min="5" max="5" width="11.26953125" style="36" customWidth="1"/>
    <col min="6" max="6" width="55.54296875" style="2" customWidth="1"/>
    <col min="7" max="7" width="50.453125" style="2" customWidth="1"/>
    <col min="8" max="8" width="58.54296875" style="2" customWidth="1"/>
    <col min="9" max="9" width="56.26953125" style="1" customWidth="1"/>
    <col min="10" max="10" width="42.1796875" style="1" customWidth="1"/>
    <col min="11" max="11" width="13.1796875" style="1" customWidth="1"/>
    <col min="12" max="12" width="19.453125" style="2" customWidth="1"/>
    <col min="13" max="13" width="18.81640625" style="2" customWidth="1"/>
    <col min="14" max="14" width="15.453125" customWidth="1"/>
  </cols>
  <sheetData>
    <row r="1" spans="2:14" ht="16.5" customHeight="1" thickBot="1" x14ac:dyDescent="0.5"/>
    <row r="2" spans="2:14" ht="29.25" customHeight="1" thickBot="1" x14ac:dyDescent="0.4">
      <c r="B2" s="226" t="s">
        <v>978</v>
      </c>
      <c r="C2" s="227"/>
      <c r="D2" s="227"/>
      <c r="E2" s="227"/>
      <c r="F2" s="227"/>
      <c r="G2" s="227"/>
      <c r="H2" s="227"/>
      <c r="I2" s="227"/>
      <c r="J2" s="227"/>
      <c r="K2" s="227"/>
      <c r="L2" s="227"/>
      <c r="M2" s="228"/>
    </row>
    <row r="3" spans="2:14" ht="16.5" customHeight="1" thickBot="1" x14ac:dyDescent="0.4">
      <c r="B3" s="229" t="s">
        <v>70</v>
      </c>
      <c r="C3" s="224"/>
      <c r="D3" s="68"/>
      <c r="E3" s="69"/>
      <c r="F3" s="223" t="s">
        <v>979</v>
      </c>
      <c r="G3" s="224"/>
      <c r="H3" s="224"/>
      <c r="I3" s="224"/>
      <c r="J3" s="224"/>
      <c r="K3" s="224"/>
      <c r="L3" s="224"/>
      <c r="M3" s="225"/>
    </row>
    <row r="4" spans="2:14" ht="48" customHeight="1" thickBot="1" x14ac:dyDescent="0.4">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2:14" ht="141.75" customHeight="1" x14ac:dyDescent="0.35">
      <c r="B5" s="127">
        <v>1</v>
      </c>
      <c r="C5" s="117" t="s">
        <v>980</v>
      </c>
      <c r="D5" s="117" t="s">
        <v>17</v>
      </c>
      <c r="E5" s="118">
        <v>3</v>
      </c>
      <c r="F5" s="119" t="s">
        <v>981</v>
      </c>
      <c r="G5" s="120" t="s">
        <v>941</v>
      </c>
      <c r="H5" s="53"/>
      <c r="I5" s="184" t="s">
        <v>982</v>
      </c>
      <c r="J5" s="120" t="s">
        <v>983</v>
      </c>
      <c r="K5" s="120"/>
      <c r="L5" s="121"/>
      <c r="M5" s="120"/>
      <c r="N5" s="122"/>
    </row>
    <row r="6" spans="2:14" ht="409.5" customHeight="1" x14ac:dyDescent="0.35">
      <c r="B6" s="50">
        <v>2</v>
      </c>
      <c r="C6" s="51" t="s">
        <v>980</v>
      </c>
      <c r="D6" s="51" t="s">
        <v>17</v>
      </c>
      <c r="E6" s="52">
        <v>10</v>
      </c>
      <c r="F6" s="79" t="s">
        <v>984</v>
      </c>
      <c r="G6" s="53" t="s">
        <v>941</v>
      </c>
      <c r="H6" s="53" t="s">
        <v>985</v>
      </c>
      <c r="I6" s="16" t="s">
        <v>986</v>
      </c>
      <c r="J6" s="53" t="s">
        <v>987</v>
      </c>
      <c r="K6" s="53"/>
      <c r="L6" s="54"/>
      <c r="M6" s="53"/>
      <c r="N6" s="55"/>
    </row>
    <row r="7" spans="2:14" ht="32.25" customHeight="1" thickBot="1" x14ac:dyDescent="0.4">
      <c r="B7" s="59">
        <v>3</v>
      </c>
      <c r="C7" s="60" t="s">
        <v>980</v>
      </c>
      <c r="D7" s="60" t="s">
        <v>103</v>
      </c>
      <c r="E7" s="61">
        <v>10</v>
      </c>
      <c r="F7" s="62" t="s">
        <v>57</v>
      </c>
      <c r="G7" s="62" t="s">
        <v>68</v>
      </c>
      <c r="H7" s="53"/>
      <c r="I7" s="62" t="s">
        <v>59</v>
      </c>
      <c r="J7" s="62" t="s">
        <v>60</v>
      </c>
      <c r="K7" s="62"/>
      <c r="L7" s="63"/>
      <c r="M7" s="62"/>
      <c r="N7" s="64"/>
    </row>
    <row r="8" spans="2:14" x14ac:dyDescent="0.45">
      <c r="F8" s="40"/>
      <c r="G8" s="40"/>
      <c r="H8" s="40"/>
      <c r="I8" s="40"/>
      <c r="J8" s="40"/>
      <c r="K8" s="40"/>
      <c r="L8" s="40"/>
      <c r="M8" s="40"/>
    </row>
  </sheetData>
  <mergeCells count="3">
    <mergeCell ref="F3:M3"/>
    <mergeCell ref="B2:M2"/>
    <mergeCell ref="B3:C3"/>
  </mergeCells>
  <conditionalFormatting sqref="K5:K6">
    <cfRule type="cellIs" dxfId="185" priority="8" operator="equal">
      <formula>"Not Tested"</formula>
    </cfRule>
    <cfRule type="cellIs" dxfId="184" priority="9" operator="equal">
      <formula>"Not Applicable"</formula>
    </cfRule>
    <cfRule type="cellIs" dxfId="183" priority="10" operator="equal">
      <formula>"Pass"</formula>
    </cfRule>
    <cfRule type="cellIs" dxfId="182" priority="11" operator="equal">
      <formula>"Not Tested"</formula>
    </cfRule>
    <cfRule type="cellIs" dxfId="181" priority="12" operator="equal">
      <formula>"Not Applicable"</formula>
    </cfRule>
    <cfRule type="cellIs" dxfId="180" priority="13" operator="equal">
      <formula>"Fail"</formula>
    </cfRule>
    <cfRule type="cellIs" dxfId="179" priority="14" operator="equal">
      <formula>"Pass"</formula>
    </cfRule>
  </conditionalFormatting>
  <conditionalFormatting sqref="L5:L7">
    <cfRule type="cellIs" dxfId="178" priority="1" operator="equal">
      <formula>"Cancelled"</formula>
    </cfRule>
    <cfRule type="cellIs" dxfId="177" priority="2" operator="equal">
      <formula>"N/A"</formula>
    </cfRule>
    <cfRule type="cellIs" dxfId="176" priority="3" operator="equal">
      <formula>"Pass"</formula>
    </cfRule>
    <cfRule type="cellIs" dxfId="175" priority="4" operator="equal">
      <formula>"In-Progress"</formula>
    </cfRule>
    <cfRule type="cellIs" dxfId="174" priority="5" operator="equal">
      <formula>"Blocked"</formula>
    </cfRule>
    <cfRule type="cellIs" dxfId="173" priority="6" operator="equal">
      <formula>"Fail"</formula>
    </cfRule>
    <cfRule type="cellIs" dxfId="172" priority="7" operator="equal">
      <formula>"Pass"</formula>
    </cfRule>
  </conditionalFormatting>
  <dataValidations count="1">
    <dataValidation type="list" allowBlank="1" showInputMessage="1" showErrorMessage="1" sqref="L5:L7" xr:uid="{00000000-0002-0000-13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B1:N7"/>
  <sheetViews>
    <sheetView zoomScale="60" zoomScaleNormal="60" workbookViewId="0">
      <selection activeCell="E16" sqref="D16:E17"/>
    </sheetView>
  </sheetViews>
  <sheetFormatPr defaultColWidth="8.7265625" defaultRowHeight="15.5" x14ac:dyDescent="0.45"/>
  <cols>
    <col min="2" max="2" width="10.26953125" style="2" customWidth="1"/>
    <col min="3" max="3" width="15.1796875" style="8" customWidth="1"/>
    <col min="4" max="4" width="14.54296875" style="2" customWidth="1"/>
    <col min="5" max="5" width="11.26953125" style="36" customWidth="1"/>
    <col min="6" max="6" width="55.54296875" style="2" customWidth="1"/>
    <col min="7" max="7" width="50.453125" style="2" customWidth="1"/>
    <col min="8" max="8" width="58.54296875" style="2" customWidth="1"/>
    <col min="9" max="9" width="56.26953125" style="1" customWidth="1"/>
    <col min="10" max="10" width="47" style="1" customWidth="1"/>
    <col min="11" max="11" width="13.1796875" style="1" customWidth="1"/>
    <col min="12" max="12" width="19.453125" style="2" customWidth="1"/>
    <col min="13" max="13" width="18.81640625" style="2" customWidth="1"/>
    <col min="14" max="14" width="15.81640625" customWidth="1"/>
  </cols>
  <sheetData>
    <row r="1" spans="2:14" ht="16.5" customHeight="1" thickBot="1" x14ac:dyDescent="0.5"/>
    <row r="2" spans="2:14" ht="29.25" customHeight="1" thickBot="1" x14ac:dyDescent="0.4">
      <c r="B2" s="226" t="s">
        <v>988</v>
      </c>
      <c r="C2" s="227"/>
      <c r="D2" s="227"/>
      <c r="E2" s="227"/>
      <c r="F2" s="227"/>
      <c r="G2" s="227"/>
      <c r="H2" s="227"/>
      <c r="I2" s="227"/>
      <c r="J2" s="227"/>
      <c r="K2" s="227"/>
      <c r="L2" s="227"/>
      <c r="M2" s="228"/>
    </row>
    <row r="3" spans="2:14" ht="16.5" customHeight="1" thickBot="1" x14ac:dyDescent="0.4">
      <c r="B3" s="229" t="s">
        <v>70</v>
      </c>
      <c r="C3" s="224"/>
      <c r="D3" s="68"/>
      <c r="E3" s="69"/>
      <c r="F3" s="223" t="s">
        <v>865</v>
      </c>
      <c r="G3" s="224"/>
      <c r="H3" s="224"/>
      <c r="I3" s="224"/>
      <c r="J3" s="224"/>
      <c r="K3" s="224"/>
      <c r="L3" s="224"/>
      <c r="M3" s="225"/>
    </row>
    <row r="4" spans="2:14" ht="48" customHeight="1" thickBot="1" x14ac:dyDescent="0.4">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2:14" ht="110.25" customHeight="1" x14ac:dyDescent="0.35">
      <c r="B5" s="127">
        <v>1</v>
      </c>
      <c r="C5" s="117" t="s">
        <v>989</v>
      </c>
      <c r="D5" s="117" t="s">
        <v>17</v>
      </c>
      <c r="E5" s="118">
        <v>5</v>
      </c>
      <c r="F5" s="120" t="s">
        <v>990</v>
      </c>
      <c r="G5" s="120" t="s">
        <v>739</v>
      </c>
      <c r="H5" s="120"/>
      <c r="I5" s="184" t="s">
        <v>991</v>
      </c>
      <c r="J5" s="120" t="s">
        <v>992</v>
      </c>
      <c r="K5" s="120"/>
      <c r="L5" s="121"/>
      <c r="M5" s="120"/>
      <c r="N5" s="122"/>
    </row>
    <row r="6" spans="2:14" ht="32.25" customHeight="1" thickBot="1" x14ac:dyDescent="0.4">
      <c r="B6" s="59">
        <v>2</v>
      </c>
      <c r="C6" s="60" t="s">
        <v>989</v>
      </c>
      <c r="D6" s="60" t="s">
        <v>103</v>
      </c>
      <c r="E6" s="61">
        <v>10</v>
      </c>
      <c r="F6" s="62" t="s">
        <v>57</v>
      </c>
      <c r="G6" s="62" t="s">
        <v>68</v>
      </c>
      <c r="H6" s="62"/>
      <c r="I6" s="62" t="s">
        <v>59</v>
      </c>
      <c r="J6" s="62" t="s">
        <v>60</v>
      </c>
      <c r="K6" s="62"/>
      <c r="L6" s="63"/>
      <c r="M6" s="62"/>
      <c r="N6" s="64"/>
    </row>
    <row r="7" spans="2:14" x14ac:dyDescent="0.45">
      <c r="F7" s="40"/>
      <c r="G7" s="40"/>
      <c r="H7" s="40"/>
      <c r="I7" s="40"/>
      <c r="J7" s="40"/>
      <c r="K7" s="40"/>
      <c r="L7" s="40"/>
      <c r="M7" s="40"/>
    </row>
  </sheetData>
  <mergeCells count="3">
    <mergeCell ref="F3:M3"/>
    <mergeCell ref="B2:M2"/>
    <mergeCell ref="B3:C3"/>
  </mergeCells>
  <conditionalFormatting sqref="K5">
    <cfRule type="cellIs" dxfId="171" priority="8" operator="equal">
      <formula>"Not Tested"</formula>
    </cfRule>
    <cfRule type="cellIs" dxfId="170" priority="9" operator="equal">
      <formula>"Not Applicable"</formula>
    </cfRule>
    <cfRule type="cellIs" dxfId="169" priority="10" operator="equal">
      <formula>"Pass"</formula>
    </cfRule>
    <cfRule type="cellIs" dxfId="168" priority="11" operator="equal">
      <formula>"Not Tested"</formula>
    </cfRule>
    <cfRule type="cellIs" dxfId="167" priority="12" operator="equal">
      <formula>"Not Applicable"</formula>
    </cfRule>
    <cfRule type="cellIs" dxfId="166" priority="13" operator="equal">
      <formula>"Fail"</formula>
    </cfRule>
    <cfRule type="cellIs" dxfId="165" priority="14" operator="equal">
      <formula>"Pass"</formula>
    </cfRule>
  </conditionalFormatting>
  <conditionalFormatting sqref="L5:L6">
    <cfRule type="cellIs" dxfId="164" priority="1" operator="equal">
      <formula>"Cancelled"</formula>
    </cfRule>
    <cfRule type="cellIs" dxfId="163" priority="2" operator="equal">
      <formula>"N/A"</formula>
    </cfRule>
    <cfRule type="cellIs" dxfId="162" priority="3" operator="equal">
      <formula>"Pass"</formula>
    </cfRule>
    <cfRule type="cellIs" dxfId="161" priority="4" operator="equal">
      <formula>"In-Progress"</formula>
    </cfRule>
    <cfRule type="cellIs" dxfId="160" priority="5" operator="equal">
      <formula>"Blocked"</formula>
    </cfRule>
    <cfRule type="cellIs" dxfId="159" priority="6" operator="equal">
      <formula>"Fail"</formula>
    </cfRule>
    <cfRule type="cellIs" dxfId="158" priority="7" operator="equal">
      <formula>"Pass"</formula>
    </cfRule>
  </conditionalFormatting>
  <dataValidations count="1">
    <dataValidation type="list" allowBlank="1" showInputMessage="1" showErrorMessage="1" sqref="L5:L6" xr:uid="{00000000-0002-0000-14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B1:N18"/>
  <sheetViews>
    <sheetView topLeftCell="A7" zoomScale="70" zoomScaleNormal="70" workbookViewId="0">
      <selection activeCell="G12" sqref="G12"/>
    </sheetView>
  </sheetViews>
  <sheetFormatPr defaultColWidth="8.7265625" defaultRowHeight="14.5" x14ac:dyDescent="0.35"/>
  <cols>
    <col min="1" max="1" width="2" customWidth="1"/>
    <col min="3" max="3" width="16.1796875" bestFit="1" customWidth="1"/>
    <col min="4" max="4" width="13.1796875" style="12" customWidth="1"/>
    <col min="5" max="5" width="11.26953125" style="39" customWidth="1"/>
    <col min="6" max="6" width="44" style="12" customWidth="1"/>
    <col min="7" max="7" width="51.81640625" style="12" customWidth="1"/>
    <col min="8" max="8" width="41.54296875" style="12" customWidth="1"/>
    <col min="9" max="9" width="45" style="12" customWidth="1"/>
    <col min="10" max="10" width="47.81640625" style="12" customWidth="1"/>
    <col min="11" max="11" width="14" style="12" customWidth="1"/>
    <col min="12" max="12" width="19.453125" customWidth="1"/>
    <col min="13" max="13" width="18.81640625" customWidth="1"/>
    <col min="14" max="14" width="16" customWidth="1"/>
  </cols>
  <sheetData>
    <row r="1" spans="2:14" ht="15.75" customHeight="1" thickBot="1" x14ac:dyDescent="0.4"/>
    <row r="2" spans="2:14" ht="29.25" customHeight="1" thickBot="1" x14ac:dyDescent="0.4">
      <c r="B2" s="226" t="s">
        <v>993</v>
      </c>
      <c r="C2" s="227"/>
      <c r="D2" s="227"/>
      <c r="E2" s="227"/>
      <c r="F2" s="227"/>
      <c r="G2" s="227"/>
      <c r="H2" s="227"/>
      <c r="I2" s="227"/>
      <c r="J2" s="227"/>
      <c r="K2" s="227"/>
      <c r="L2" s="227"/>
      <c r="M2" s="228"/>
    </row>
    <row r="3" spans="2:14" ht="16.5" customHeight="1" thickBot="1" x14ac:dyDescent="0.4">
      <c r="B3" s="229" t="s">
        <v>1</v>
      </c>
      <c r="C3" s="224"/>
      <c r="D3" s="68"/>
      <c r="E3" s="69"/>
      <c r="F3" s="223" t="s">
        <v>994</v>
      </c>
      <c r="G3" s="224"/>
      <c r="H3" s="224"/>
      <c r="I3" s="224"/>
      <c r="J3" s="224"/>
      <c r="K3" s="224"/>
      <c r="L3" s="224"/>
      <c r="M3" s="225"/>
    </row>
    <row r="4" spans="2:14" ht="48" customHeight="1" thickBot="1" x14ac:dyDescent="0.4">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2:14" ht="110.25" customHeight="1" x14ac:dyDescent="0.45">
      <c r="B5" s="127">
        <v>1</v>
      </c>
      <c r="C5" s="117" t="s">
        <v>16</v>
      </c>
      <c r="D5" s="117" t="s">
        <v>17</v>
      </c>
      <c r="E5" s="118">
        <v>5</v>
      </c>
      <c r="F5" s="53" t="s">
        <v>995</v>
      </c>
      <c r="G5" s="120" t="s">
        <v>420</v>
      </c>
      <c r="H5" s="67"/>
      <c r="I5" s="120" t="s">
        <v>996</v>
      </c>
      <c r="J5" s="120" t="s">
        <v>997</v>
      </c>
      <c r="K5" s="120"/>
      <c r="L5" s="121"/>
      <c r="M5" s="121"/>
      <c r="N5" s="174"/>
    </row>
    <row r="6" spans="2:14" ht="110.25" customHeight="1" x14ac:dyDescent="0.45">
      <c r="B6" s="50">
        <v>2</v>
      </c>
      <c r="C6" s="51" t="s">
        <v>16</v>
      </c>
      <c r="D6" s="51" t="s">
        <v>17</v>
      </c>
      <c r="E6" s="52">
        <v>3</v>
      </c>
      <c r="F6" s="79" t="s">
        <v>998</v>
      </c>
      <c r="G6" s="67" t="s">
        <v>999</v>
      </c>
      <c r="H6" s="67"/>
      <c r="I6" s="53" t="s">
        <v>1000</v>
      </c>
      <c r="J6" s="70" t="s">
        <v>1001</v>
      </c>
      <c r="K6" s="70"/>
      <c r="L6" s="54"/>
      <c r="M6" s="54"/>
      <c r="N6" s="72"/>
    </row>
    <row r="7" spans="2:14" ht="110.25" customHeight="1" x14ac:dyDescent="0.45">
      <c r="B7" s="50">
        <v>3</v>
      </c>
      <c r="C7" s="51" t="s">
        <v>16</v>
      </c>
      <c r="D7" s="51" t="s">
        <v>17</v>
      </c>
      <c r="E7" s="52">
        <v>3</v>
      </c>
      <c r="F7" s="79" t="s">
        <v>1638</v>
      </c>
      <c r="G7" s="67" t="s">
        <v>999</v>
      </c>
      <c r="H7" s="67"/>
      <c r="I7" s="53" t="s">
        <v>1636</v>
      </c>
      <c r="J7" s="53" t="s">
        <v>1637</v>
      </c>
      <c r="K7" s="53"/>
      <c r="L7" s="54"/>
      <c r="M7" s="54"/>
      <c r="N7" s="72"/>
    </row>
    <row r="8" spans="2:14" ht="110.25" customHeight="1" x14ac:dyDescent="0.45">
      <c r="B8" s="50">
        <v>4</v>
      </c>
      <c r="C8" s="51" t="s">
        <v>16</v>
      </c>
      <c r="D8" s="51" t="s">
        <v>103</v>
      </c>
      <c r="E8" s="52">
        <v>3</v>
      </c>
      <c r="F8" s="79" t="s">
        <v>1002</v>
      </c>
      <c r="G8" s="67" t="s">
        <v>999</v>
      </c>
      <c r="H8" s="67"/>
      <c r="I8" s="53" t="s">
        <v>1003</v>
      </c>
      <c r="J8" s="70" t="s">
        <v>1004</v>
      </c>
      <c r="K8" s="70"/>
      <c r="L8" s="54"/>
      <c r="M8" s="54"/>
      <c r="N8" s="72"/>
    </row>
    <row r="9" spans="2:14" ht="110.25" customHeight="1" x14ac:dyDescent="0.45">
      <c r="B9" s="50">
        <v>5</v>
      </c>
      <c r="C9" s="51" t="s">
        <v>16</v>
      </c>
      <c r="D9" s="51" t="s">
        <v>103</v>
      </c>
      <c r="E9" s="52">
        <v>3</v>
      </c>
      <c r="F9" s="79" t="s">
        <v>1005</v>
      </c>
      <c r="G9" s="67" t="s">
        <v>999</v>
      </c>
      <c r="H9" s="67"/>
      <c r="I9" s="53" t="s">
        <v>1006</v>
      </c>
      <c r="J9" s="70" t="s">
        <v>1007</v>
      </c>
      <c r="K9" s="70"/>
      <c r="L9" s="54"/>
      <c r="M9" s="54"/>
      <c r="N9" s="72"/>
    </row>
    <row r="10" spans="2:14" ht="157.5" customHeight="1" x14ac:dyDescent="0.45">
      <c r="B10" s="50">
        <v>6</v>
      </c>
      <c r="C10" s="51" t="s">
        <v>16</v>
      </c>
      <c r="D10" s="51" t="s">
        <v>17</v>
      </c>
      <c r="E10" s="52">
        <v>3</v>
      </c>
      <c r="F10" s="79" t="s">
        <v>1008</v>
      </c>
      <c r="G10" s="67" t="s">
        <v>999</v>
      </c>
      <c r="H10" s="67"/>
      <c r="I10" s="53" t="s">
        <v>1009</v>
      </c>
      <c r="J10" s="53" t="s">
        <v>1010</v>
      </c>
      <c r="K10" s="53"/>
      <c r="L10" s="54"/>
      <c r="M10" s="54"/>
      <c r="N10" s="72"/>
    </row>
    <row r="11" spans="2:14" ht="49.5" customHeight="1" thickBot="1" x14ac:dyDescent="0.4">
      <c r="B11" s="59">
        <v>7</v>
      </c>
      <c r="C11" s="60" t="s">
        <v>16</v>
      </c>
      <c r="D11" s="60" t="s">
        <v>103</v>
      </c>
      <c r="E11" s="61">
        <v>5</v>
      </c>
      <c r="F11" s="62" t="s">
        <v>852</v>
      </c>
      <c r="G11" s="73"/>
      <c r="H11" s="73"/>
      <c r="I11" s="62" t="s">
        <v>853</v>
      </c>
      <c r="J11" s="62" t="s">
        <v>854</v>
      </c>
      <c r="K11" s="62"/>
      <c r="L11" s="63"/>
      <c r="M11" s="63"/>
      <c r="N11" s="136"/>
    </row>
    <row r="12" spans="2:14" ht="43.5" customHeight="1" x14ac:dyDescent="0.35"/>
    <row r="13" spans="2:14" ht="16.5" customHeight="1" x14ac:dyDescent="0.35"/>
    <row r="14" spans="2:14" ht="16.5" customHeight="1" x14ac:dyDescent="0.35"/>
    <row r="15" spans="2:14" ht="15.75" customHeight="1" x14ac:dyDescent="0.35">
      <c r="L15" s="29"/>
    </row>
    <row r="16" spans="2:14" ht="15.75" customHeight="1" x14ac:dyDescent="0.35">
      <c r="L16" s="29"/>
    </row>
    <row r="17" spans="12:12" ht="15.75" customHeight="1" x14ac:dyDescent="0.35">
      <c r="L17" s="29"/>
    </row>
    <row r="18" spans="12:12" ht="15.75" customHeight="1" x14ac:dyDescent="0.35">
      <c r="L18" s="29"/>
    </row>
  </sheetData>
  <mergeCells count="3">
    <mergeCell ref="F3:M3"/>
    <mergeCell ref="B2:M2"/>
    <mergeCell ref="B3:C3"/>
  </mergeCells>
  <conditionalFormatting sqref="L15:L18 L13:M13 L5:M11">
    <cfRule type="cellIs" dxfId="157" priority="1" operator="equal">
      <formula>"Cancelled"</formula>
    </cfRule>
    <cfRule type="cellIs" dxfId="156" priority="2" operator="equal">
      <formula>"N/A"</formula>
    </cfRule>
    <cfRule type="cellIs" dxfId="155" priority="3" operator="equal">
      <formula>"Pass"</formula>
    </cfRule>
    <cfRule type="cellIs" dxfId="154" priority="4" operator="equal">
      <formula>"In-Progress"</formula>
    </cfRule>
    <cfRule type="cellIs" dxfId="153" priority="5" operator="equal">
      <formula>"Blocked"</formula>
    </cfRule>
    <cfRule type="cellIs" dxfId="152" priority="6" operator="equal">
      <formula>"Fail"</formula>
    </cfRule>
    <cfRule type="cellIs" dxfId="151" priority="7" operator="equal">
      <formula>"Pass"</formula>
    </cfRule>
  </conditionalFormatting>
  <dataValidations count="1">
    <dataValidation type="list" allowBlank="1" showInputMessage="1" showErrorMessage="1" sqref="L13 L5:L11" xr:uid="{00000000-0002-0000-15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N18"/>
  <sheetViews>
    <sheetView topLeftCell="A15" zoomScale="50" zoomScaleNormal="50" workbookViewId="0">
      <selection activeCell="B17" sqref="B17"/>
    </sheetView>
  </sheetViews>
  <sheetFormatPr defaultColWidth="8.7265625" defaultRowHeight="15.5" x14ac:dyDescent="0.45"/>
  <cols>
    <col min="1" max="1" width="8.7265625" style="2" customWidth="1"/>
    <col min="2" max="2" width="10.26953125" style="2" customWidth="1"/>
    <col min="3" max="3" width="15.1796875" style="8" customWidth="1"/>
    <col min="4" max="4" width="14.54296875" style="2" customWidth="1"/>
    <col min="5" max="5" width="11.26953125" style="36" customWidth="1"/>
    <col min="6" max="6" width="57.7265625" style="2" customWidth="1"/>
    <col min="7" max="7" width="54.453125" style="2" customWidth="1"/>
    <col min="8" max="8" width="60.1796875" style="2" customWidth="1"/>
    <col min="9" max="9" width="60.453125" style="1" customWidth="1"/>
    <col min="10" max="10" width="48.1796875" style="1" customWidth="1"/>
    <col min="11" max="11" width="13.1796875" style="1" customWidth="1"/>
    <col min="12" max="12" width="19.453125" style="2" customWidth="1"/>
    <col min="13" max="13" width="18.81640625" style="2" customWidth="1"/>
    <col min="14" max="14" width="15.453125" style="2" customWidth="1"/>
    <col min="15" max="61" width="8.7265625" style="2" customWidth="1"/>
    <col min="62" max="16384" width="8.7265625" style="2"/>
  </cols>
  <sheetData>
    <row r="1" spans="1:14" ht="16.5" customHeight="1" thickBot="1" x14ac:dyDescent="0.5"/>
    <row r="2" spans="1:14" ht="29.25" customHeight="1" thickBot="1" x14ac:dyDescent="0.5">
      <c r="B2" s="241" t="s">
        <v>1011</v>
      </c>
      <c r="C2" s="227"/>
      <c r="D2" s="227"/>
      <c r="E2" s="227"/>
      <c r="F2" s="227"/>
      <c r="G2" s="227"/>
      <c r="H2" s="227"/>
      <c r="I2" s="227"/>
      <c r="J2" s="227"/>
      <c r="K2" s="227"/>
      <c r="L2" s="227"/>
      <c r="M2" s="228"/>
    </row>
    <row r="3" spans="1:14" ht="16.5" customHeight="1" thickBot="1" x14ac:dyDescent="0.5">
      <c r="B3" s="240" t="s">
        <v>70</v>
      </c>
      <c r="C3" s="224"/>
      <c r="D3" s="31"/>
      <c r="E3" s="33"/>
      <c r="F3" s="238" t="s">
        <v>1012</v>
      </c>
      <c r="G3" s="224"/>
      <c r="H3" s="224"/>
      <c r="I3" s="224"/>
      <c r="J3" s="224"/>
      <c r="K3" s="224"/>
      <c r="L3" s="224"/>
      <c r="M3" s="225"/>
    </row>
    <row r="4" spans="1:14" ht="48" customHeight="1" thickBot="1" x14ac:dyDescent="0.5">
      <c r="A4"/>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1:14" ht="173.25" customHeight="1" x14ac:dyDescent="0.45">
      <c r="B5" s="127">
        <v>1</v>
      </c>
      <c r="C5" s="117" t="s">
        <v>16</v>
      </c>
      <c r="D5" s="117" t="s">
        <v>17</v>
      </c>
      <c r="E5" s="118">
        <v>3</v>
      </c>
      <c r="F5" s="120" t="s">
        <v>1013</v>
      </c>
      <c r="G5" s="120" t="s">
        <v>420</v>
      </c>
      <c r="H5" s="67"/>
      <c r="I5" s="120" t="s">
        <v>1014</v>
      </c>
      <c r="J5" s="120" t="s">
        <v>1015</v>
      </c>
      <c r="K5" s="120"/>
      <c r="L5" s="121"/>
      <c r="M5" s="120"/>
      <c r="N5" s="122"/>
    </row>
    <row r="6" spans="1:14" ht="171" customHeight="1" x14ac:dyDescent="0.45">
      <c r="B6" s="50">
        <v>2</v>
      </c>
      <c r="C6" s="51" t="s">
        <v>16</v>
      </c>
      <c r="D6" s="51" t="s">
        <v>17</v>
      </c>
      <c r="E6" s="52">
        <v>5</v>
      </c>
      <c r="F6" s="53" t="s">
        <v>1633</v>
      </c>
      <c r="G6" s="67" t="s">
        <v>1016</v>
      </c>
      <c r="H6" s="67"/>
      <c r="I6" s="53" t="s">
        <v>1634</v>
      </c>
      <c r="J6" s="53" t="s">
        <v>1635</v>
      </c>
      <c r="K6" s="53"/>
      <c r="L6" s="54"/>
      <c r="M6" s="53"/>
      <c r="N6" s="55"/>
    </row>
    <row r="7" spans="1:14" ht="204.75" customHeight="1" x14ac:dyDescent="0.45">
      <c r="B7" s="50">
        <v>3</v>
      </c>
      <c r="C7" s="51" t="s">
        <v>16</v>
      </c>
      <c r="D7" s="51" t="s">
        <v>17</v>
      </c>
      <c r="E7" s="52">
        <v>5</v>
      </c>
      <c r="F7" s="53" t="s">
        <v>1017</v>
      </c>
      <c r="G7" s="53" t="s">
        <v>1016</v>
      </c>
      <c r="H7" s="67"/>
      <c r="I7" s="53" t="s">
        <v>1018</v>
      </c>
      <c r="J7" s="53" t="s">
        <v>1019</v>
      </c>
      <c r="K7" s="53"/>
      <c r="L7" s="54"/>
      <c r="M7" s="53"/>
      <c r="N7" s="55"/>
    </row>
    <row r="8" spans="1:14" ht="256" customHeight="1" x14ac:dyDescent="0.45">
      <c r="B8" s="50">
        <v>4</v>
      </c>
      <c r="C8" s="51" t="s">
        <v>16</v>
      </c>
      <c r="D8" s="51" t="s">
        <v>17</v>
      </c>
      <c r="E8" s="52">
        <v>5</v>
      </c>
      <c r="F8" s="53" t="s">
        <v>1020</v>
      </c>
      <c r="G8" s="53" t="s">
        <v>1016</v>
      </c>
      <c r="H8" s="67" t="s">
        <v>1021</v>
      </c>
      <c r="I8" s="53" t="s">
        <v>1022</v>
      </c>
      <c r="J8" s="53" t="s">
        <v>1023</v>
      </c>
      <c r="K8" s="53"/>
      <c r="L8" s="54"/>
      <c r="M8" s="53"/>
      <c r="N8" s="55"/>
    </row>
    <row r="9" spans="1:14" ht="265.5" customHeight="1" x14ac:dyDescent="0.45">
      <c r="B9" s="50">
        <v>5</v>
      </c>
      <c r="C9" s="51" t="s">
        <v>16</v>
      </c>
      <c r="D9" s="51" t="s">
        <v>103</v>
      </c>
      <c r="E9" s="52">
        <v>4</v>
      </c>
      <c r="F9" s="53" t="s">
        <v>1024</v>
      </c>
      <c r="G9" s="53" t="s">
        <v>1016</v>
      </c>
      <c r="H9" s="67" t="s">
        <v>1025</v>
      </c>
      <c r="I9" s="53" t="s">
        <v>1026</v>
      </c>
      <c r="J9" s="53" t="s">
        <v>1027</v>
      </c>
      <c r="K9" s="53"/>
      <c r="L9" s="54"/>
      <c r="M9" s="53"/>
      <c r="N9" s="55"/>
    </row>
    <row r="10" spans="1:14" ht="204.75" customHeight="1" x14ac:dyDescent="0.45">
      <c r="B10" s="50">
        <v>6</v>
      </c>
      <c r="C10" s="51" t="s">
        <v>16</v>
      </c>
      <c r="D10" s="51" t="s">
        <v>103</v>
      </c>
      <c r="E10" s="52">
        <v>4</v>
      </c>
      <c r="F10" s="53" t="s">
        <v>1028</v>
      </c>
      <c r="G10" s="53" t="s">
        <v>1016</v>
      </c>
      <c r="H10" s="67" t="s">
        <v>1029</v>
      </c>
      <c r="I10" s="53" t="s">
        <v>1030</v>
      </c>
      <c r="J10" s="53" t="s">
        <v>1031</v>
      </c>
      <c r="K10" s="53"/>
      <c r="L10" s="54"/>
      <c r="M10" s="53"/>
      <c r="N10" s="55"/>
    </row>
    <row r="11" spans="1:14" ht="189" customHeight="1" x14ac:dyDescent="0.45">
      <c r="B11" s="50">
        <v>7</v>
      </c>
      <c r="C11" s="51" t="s">
        <v>16</v>
      </c>
      <c r="D11" s="51" t="s">
        <v>103</v>
      </c>
      <c r="E11" s="52">
        <v>4</v>
      </c>
      <c r="F11" s="53" t="s">
        <v>1032</v>
      </c>
      <c r="G11" s="53" t="s">
        <v>1016</v>
      </c>
      <c r="H11" s="67"/>
      <c r="I11" s="53" t="s">
        <v>1033</v>
      </c>
      <c r="J11" s="53" t="s">
        <v>1034</v>
      </c>
      <c r="K11" s="53"/>
      <c r="L11" s="54"/>
      <c r="M11" s="53"/>
      <c r="N11" s="55"/>
    </row>
    <row r="12" spans="1:14" ht="283.5" customHeight="1" x14ac:dyDescent="0.45">
      <c r="B12" s="50">
        <v>8</v>
      </c>
      <c r="C12" s="51" t="s">
        <v>16</v>
      </c>
      <c r="D12" s="51" t="s">
        <v>103</v>
      </c>
      <c r="E12" s="52">
        <v>5</v>
      </c>
      <c r="F12" s="53" t="s">
        <v>1035</v>
      </c>
      <c r="G12" s="53" t="s">
        <v>1016</v>
      </c>
      <c r="H12" s="67"/>
      <c r="I12" s="53" t="s">
        <v>1036</v>
      </c>
      <c r="J12" s="53" t="s">
        <v>1037</v>
      </c>
      <c r="K12" s="53"/>
      <c r="L12" s="54"/>
      <c r="M12" s="53"/>
      <c r="N12" s="55"/>
    </row>
    <row r="13" spans="1:14" ht="330.75" customHeight="1" x14ac:dyDescent="0.45">
      <c r="B13" s="50">
        <v>9</v>
      </c>
      <c r="C13" s="51" t="s">
        <v>16</v>
      </c>
      <c r="D13" s="51" t="s">
        <v>103</v>
      </c>
      <c r="E13" s="52">
        <v>5</v>
      </c>
      <c r="F13" s="53" t="s">
        <v>1038</v>
      </c>
      <c r="H13" s="53" t="s">
        <v>1039</v>
      </c>
      <c r="I13" s="53" t="s">
        <v>1040</v>
      </c>
      <c r="J13" s="53" t="s">
        <v>1041</v>
      </c>
      <c r="K13" s="53"/>
      <c r="L13" s="54"/>
      <c r="M13" s="53"/>
      <c r="N13" s="55"/>
    </row>
    <row r="14" spans="1:14" ht="267.75" customHeight="1" x14ac:dyDescent="0.45">
      <c r="B14" s="50">
        <v>10</v>
      </c>
      <c r="C14" s="51" t="s">
        <v>16</v>
      </c>
      <c r="D14" s="51" t="s">
        <v>103</v>
      </c>
      <c r="E14" s="52">
        <v>4</v>
      </c>
      <c r="F14" s="53" t="s">
        <v>1042</v>
      </c>
      <c r="G14" s="53" t="s">
        <v>1016</v>
      </c>
      <c r="H14" s="67" t="s">
        <v>1043</v>
      </c>
      <c r="I14" s="53" t="s">
        <v>1044</v>
      </c>
      <c r="J14" s="53" t="s">
        <v>1045</v>
      </c>
      <c r="K14" s="53"/>
      <c r="L14" s="54"/>
      <c r="M14" s="53"/>
      <c r="N14" s="55"/>
    </row>
    <row r="15" spans="1:14" ht="283.5" customHeight="1" x14ac:dyDescent="0.45">
      <c r="B15" s="50">
        <v>11</v>
      </c>
      <c r="C15" s="51" t="s">
        <v>16</v>
      </c>
      <c r="D15" s="51" t="s">
        <v>26</v>
      </c>
      <c r="E15" s="52">
        <v>4</v>
      </c>
      <c r="F15" s="53" t="s">
        <v>1046</v>
      </c>
      <c r="G15" s="53" t="s">
        <v>1016</v>
      </c>
      <c r="H15" s="67" t="s">
        <v>1043</v>
      </c>
      <c r="I15" s="53" t="s">
        <v>1047</v>
      </c>
      <c r="J15" s="53" t="s">
        <v>1048</v>
      </c>
      <c r="K15" s="53"/>
      <c r="L15" s="54"/>
      <c r="M15" s="53"/>
      <c r="N15" s="55"/>
    </row>
    <row r="16" spans="1:14" ht="110.25" customHeight="1" thickBot="1" x14ac:dyDescent="0.5">
      <c r="B16" s="59">
        <v>12</v>
      </c>
      <c r="C16" s="60" t="s">
        <v>16</v>
      </c>
      <c r="D16" s="60" t="s">
        <v>103</v>
      </c>
      <c r="E16" s="61">
        <v>10</v>
      </c>
      <c r="F16" s="62" t="s">
        <v>57</v>
      </c>
      <c r="G16" s="62"/>
      <c r="H16" s="67"/>
      <c r="I16" s="62" t="s">
        <v>59</v>
      </c>
      <c r="J16" s="62" t="s">
        <v>60</v>
      </c>
      <c r="K16" s="62"/>
      <c r="L16" s="63"/>
      <c r="M16" s="62"/>
      <c r="N16" s="64"/>
    </row>
    <row r="17" ht="110.25" customHeight="1" x14ac:dyDescent="0.45"/>
    <row r="18" ht="32.25" customHeight="1" x14ac:dyDescent="0.45"/>
  </sheetData>
  <mergeCells count="3">
    <mergeCell ref="F3:M3"/>
    <mergeCell ref="B2:M2"/>
    <mergeCell ref="B3:C3"/>
  </mergeCells>
  <conditionalFormatting sqref="K5:K15">
    <cfRule type="cellIs" dxfId="150" priority="1" operator="equal">
      <formula>"Not Tested"</formula>
    </cfRule>
    <cfRule type="cellIs" dxfId="149" priority="2" operator="equal">
      <formula>"Not Applicable"</formula>
    </cfRule>
    <cfRule type="cellIs" dxfId="148" priority="3" operator="equal">
      <formula>"Pass"</formula>
    </cfRule>
    <cfRule type="cellIs" dxfId="147" priority="4" operator="equal">
      <formula>"Not Tested"</formula>
    </cfRule>
    <cfRule type="cellIs" dxfId="146" priority="5" operator="equal">
      <formula>"Not Applicable"</formula>
    </cfRule>
    <cfRule type="cellIs" dxfId="145" priority="6" operator="equal">
      <formula>"Fail"</formula>
    </cfRule>
    <cfRule type="cellIs" dxfId="144" priority="7" operator="equal">
      <formula>"Pass"</formula>
    </cfRule>
  </conditionalFormatting>
  <conditionalFormatting sqref="L5:L16">
    <cfRule type="cellIs" dxfId="143" priority="8" operator="equal">
      <formula>"Cancelled"</formula>
    </cfRule>
    <cfRule type="cellIs" dxfId="142" priority="9" operator="equal">
      <formula>"N/A"</formula>
    </cfRule>
    <cfRule type="cellIs" dxfId="141" priority="10" operator="equal">
      <formula>"Pass"</formula>
    </cfRule>
    <cfRule type="cellIs" dxfId="140" priority="11" operator="equal">
      <formula>"In-Progress"</formula>
    </cfRule>
    <cfRule type="cellIs" dxfId="139" priority="12" operator="equal">
      <formula>"Blocked"</formula>
    </cfRule>
    <cfRule type="cellIs" dxfId="138" priority="13" operator="equal">
      <formula>"Fail"</formula>
    </cfRule>
    <cfRule type="cellIs" dxfId="137" priority="14" operator="equal">
      <formula>"Pass"</formula>
    </cfRule>
  </conditionalFormatting>
  <dataValidations count="1">
    <dataValidation type="list" allowBlank="1" showInputMessage="1" showErrorMessage="1" sqref="L5:L16" xr:uid="{00000000-0002-0000-16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B1:N12"/>
  <sheetViews>
    <sheetView zoomScale="60" zoomScaleNormal="60" workbookViewId="0">
      <selection activeCell="B11" sqref="B11"/>
    </sheetView>
  </sheetViews>
  <sheetFormatPr defaultColWidth="8.7265625" defaultRowHeight="15.5" x14ac:dyDescent="0.45"/>
  <cols>
    <col min="2" max="2" width="10.26953125" style="2" customWidth="1"/>
    <col min="3" max="3" width="15.1796875" style="8" customWidth="1"/>
    <col min="4" max="4" width="14.54296875" style="2" customWidth="1"/>
    <col min="5" max="5" width="11.26953125" style="36" customWidth="1"/>
    <col min="6" max="6" width="67.81640625" style="2" customWidth="1"/>
    <col min="7" max="7" width="50.453125" style="2" customWidth="1"/>
    <col min="8" max="8" width="58.54296875" style="2" customWidth="1"/>
    <col min="9" max="9" width="56.26953125" style="1" customWidth="1"/>
    <col min="10" max="10" width="46" style="1" customWidth="1"/>
    <col min="11" max="11" width="13.1796875" style="1" customWidth="1"/>
    <col min="12" max="12" width="19.453125" style="2" customWidth="1"/>
    <col min="13" max="13" width="18.81640625" style="2" customWidth="1"/>
    <col min="14" max="14" width="16.1796875" customWidth="1"/>
  </cols>
  <sheetData>
    <row r="1" spans="2:14" ht="16.5" customHeight="1" thickBot="1" x14ac:dyDescent="0.5"/>
    <row r="2" spans="2:14" ht="29.25" customHeight="1" thickBot="1" x14ac:dyDescent="0.4">
      <c r="B2" s="226" t="s">
        <v>1049</v>
      </c>
      <c r="C2" s="227"/>
      <c r="D2" s="227"/>
      <c r="E2" s="227"/>
      <c r="F2" s="227"/>
      <c r="G2" s="227"/>
      <c r="H2" s="227"/>
      <c r="I2" s="227"/>
      <c r="J2" s="227"/>
      <c r="K2" s="227"/>
      <c r="L2" s="227"/>
      <c r="M2" s="228"/>
    </row>
    <row r="3" spans="2:14" ht="16.5" customHeight="1" thickBot="1" x14ac:dyDescent="0.4">
      <c r="B3" s="229" t="s">
        <v>70</v>
      </c>
      <c r="C3" s="224"/>
      <c r="D3" s="68"/>
      <c r="E3" s="69"/>
      <c r="F3" s="223" t="s">
        <v>1050</v>
      </c>
      <c r="G3" s="224"/>
      <c r="H3" s="224"/>
      <c r="I3" s="224"/>
      <c r="J3" s="224"/>
      <c r="K3" s="224"/>
      <c r="L3" s="224"/>
      <c r="M3" s="225"/>
    </row>
    <row r="4" spans="2:14" ht="32.25" customHeight="1" thickBot="1" x14ac:dyDescent="0.4">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2:14" ht="110.25" customHeight="1" x14ac:dyDescent="0.35">
      <c r="B5" s="127">
        <v>1</v>
      </c>
      <c r="C5" s="117" t="s">
        <v>1051</v>
      </c>
      <c r="D5" s="117" t="s">
        <v>103</v>
      </c>
      <c r="E5" s="118">
        <v>2</v>
      </c>
      <c r="F5" s="119" t="s">
        <v>1052</v>
      </c>
      <c r="G5" s="120" t="s">
        <v>1053</v>
      </c>
      <c r="H5" s="53"/>
      <c r="I5" s="200" t="s">
        <v>1054</v>
      </c>
      <c r="J5" s="184" t="s">
        <v>1055</v>
      </c>
      <c r="K5" s="120"/>
      <c r="L5" s="121"/>
      <c r="M5" s="120"/>
      <c r="N5" s="122"/>
    </row>
    <row r="6" spans="2:14" ht="110.25" customHeight="1" x14ac:dyDescent="0.35">
      <c r="B6" s="50">
        <v>2</v>
      </c>
      <c r="C6" s="51" t="s">
        <v>1051</v>
      </c>
      <c r="D6" s="51" t="s">
        <v>103</v>
      </c>
      <c r="E6" s="52">
        <v>3</v>
      </c>
      <c r="F6" s="79" t="s">
        <v>1056</v>
      </c>
      <c r="G6" s="53" t="s">
        <v>1053</v>
      </c>
      <c r="H6" s="53"/>
      <c r="I6" s="53" t="s">
        <v>1057</v>
      </c>
      <c r="J6" s="53" t="s">
        <v>1058</v>
      </c>
      <c r="K6" s="53"/>
      <c r="L6" s="54"/>
      <c r="M6" s="53"/>
      <c r="N6" s="55"/>
    </row>
    <row r="7" spans="2:14" ht="112.5" customHeight="1" x14ac:dyDescent="0.35">
      <c r="B7" s="50">
        <v>3</v>
      </c>
      <c r="C7" s="51" t="s">
        <v>810</v>
      </c>
      <c r="D7" s="51" t="s">
        <v>103</v>
      </c>
      <c r="E7" s="52">
        <v>3</v>
      </c>
      <c r="F7" s="79" t="s">
        <v>1059</v>
      </c>
      <c r="G7" s="53" t="s">
        <v>1053</v>
      </c>
      <c r="H7" s="53"/>
      <c r="I7" s="16" t="s">
        <v>1060</v>
      </c>
      <c r="J7" s="16" t="s">
        <v>1061</v>
      </c>
      <c r="K7" s="53"/>
      <c r="L7" s="54"/>
      <c r="M7" s="53"/>
      <c r="N7" s="55"/>
    </row>
    <row r="8" spans="2:14" ht="174.75" customHeight="1" x14ac:dyDescent="0.35">
      <c r="B8" s="50">
        <v>4</v>
      </c>
      <c r="C8" s="51" t="s">
        <v>810</v>
      </c>
      <c r="D8" s="51" t="s">
        <v>103</v>
      </c>
      <c r="E8" s="52">
        <v>15</v>
      </c>
      <c r="F8" s="79" t="s">
        <v>1062</v>
      </c>
      <c r="G8" s="53" t="s">
        <v>1053</v>
      </c>
      <c r="H8" s="53" t="s">
        <v>1063</v>
      </c>
      <c r="I8" s="53" t="s">
        <v>1064</v>
      </c>
      <c r="J8" s="53" t="s">
        <v>1065</v>
      </c>
      <c r="K8" s="53"/>
      <c r="L8" s="54"/>
      <c r="M8" s="53"/>
      <c r="N8" s="55"/>
    </row>
    <row r="9" spans="2:14" ht="47.25" customHeight="1" thickBot="1" x14ac:dyDescent="0.4">
      <c r="B9" s="59">
        <v>5</v>
      </c>
      <c r="C9" s="60" t="s">
        <v>1051</v>
      </c>
      <c r="D9" s="60" t="s">
        <v>26</v>
      </c>
      <c r="E9" s="61">
        <v>10</v>
      </c>
      <c r="F9" s="94" t="s">
        <v>57</v>
      </c>
      <c r="G9" s="62" t="s">
        <v>68</v>
      </c>
      <c r="H9" s="53"/>
      <c r="I9" s="62" t="s">
        <v>59</v>
      </c>
      <c r="J9" s="62" t="s">
        <v>60</v>
      </c>
      <c r="K9" s="62"/>
      <c r="L9" s="63"/>
      <c r="M9" s="62"/>
      <c r="N9" s="64"/>
    </row>
    <row r="10" spans="2:14" ht="120" customHeight="1" x14ac:dyDescent="0.45"/>
    <row r="11" spans="2:14" ht="252" customHeight="1" x14ac:dyDescent="0.45"/>
    <row r="12" spans="2:14" ht="32.25" customHeight="1" x14ac:dyDescent="0.45"/>
  </sheetData>
  <mergeCells count="3">
    <mergeCell ref="F3:M3"/>
    <mergeCell ref="B2:M2"/>
    <mergeCell ref="B3:C3"/>
  </mergeCells>
  <conditionalFormatting sqref="K5:K8">
    <cfRule type="cellIs" dxfId="136" priority="8" operator="equal">
      <formula>"Not Tested"</formula>
    </cfRule>
    <cfRule type="cellIs" dxfId="135" priority="9" operator="equal">
      <formula>"Not Applicable"</formula>
    </cfRule>
    <cfRule type="cellIs" dxfId="134" priority="10" operator="equal">
      <formula>"Pass"</formula>
    </cfRule>
    <cfRule type="cellIs" dxfId="133" priority="11" operator="equal">
      <formula>"Not Tested"</formula>
    </cfRule>
    <cfRule type="cellIs" dxfId="132" priority="12" operator="equal">
      <formula>"Not Applicable"</formula>
    </cfRule>
    <cfRule type="cellIs" dxfId="131" priority="13" operator="equal">
      <formula>"Fail"</formula>
    </cfRule>
    <cfRule type="cellIs" dxfId="130" priority="14" operator="equal">
      <formula>"Pass"</formula>
    </cfRule>
  </conditionalFormatting>
  <conditionalFormatting sqref="L5:L9">
    <cfRule type="cellIs" dxfId="129" priority="1" operator="equal">
      <formula>"Cancelled"</formula>
    </cfRule>
    <cfRule type="cellIs" dxfId="128" priority="2" operator="equal">
      <formula>"N/A"</formula>
    </cfRule>
    <cfRule type="cellIs" dxfId="127" priority="3" operator="equal">
      <formula>"Pass"</formula>
    </cfRule>
    <cfRule type="cellIs" dxfId="126" priority="4" operator="equal">
      <formula>"In-Progress"</formula>
    </cfRule>
    <cfRule type="cellIs" dxfId="125" priority="5" operator="equal">
      <formula>"Blocked"</formula>
    </cfRule>
    <cfRule type="cellIs" dxfId="124" priority="6" operator="equal">
      <formula>"Fail"</formula>
    </cfRule>
    <cfRule type="cellIs" dxfId="123" priority="7" operator="equal">
      <formula>"Pass"</formula>
    </cfRule>
  </conditionalFormatting>
  <dataValidations count="1">
    <dataValidation type="list" allowBlank="1" showInputMessage="1" showErrorMessage="1" sqref="L5:L9" xr:uid="{00000000-0002-0000-17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B1:N15"/>
  <sheetViews>
    <sheetView topLeftCell="D14" zoomScale="70" zoomScaleNormal="70" workbookViewId="0">
      <selection activeCell="H34" sqref="H34:H45"/>
    </sheetView>
  </sheetViews>
  <sheetFormatPr defaultColWidth="8.7265625" defaultRowHeight="15.5" x14ac:dyDescent="0.45"/>
  <cols>
    <col min="2" max="2" width="10.26953125" style="2" customWidth="1"/>
    <col min="3" max="3" width="15.1796875" style="8" customWidth="1"/>
    <col min="4" max="4" width="14.54296875" style="2" customWidth="1"/>
    <col min="5" max="5" width="11.26953125" style="36" customWidth="1"/>
    <col min="6" max="6" width="55.54296875" style="2" customWidth="1"/>
    <col min="7" max="7" width="50.453125" style="2" customWidth="1"/>
    <col min="8" max="8" width="58.54296875" style="2" customWidth="1"/>
    <col min="9" max="9" width="56.26953125" style="1" customWidth="1"/>
    <col min="10" max="10" width="40.7265625" style="1" customWidth="1"/>
    <col min="11" max="11" width="13.1796875" style="1" customWidth="1"/>
    <col min="12" max="12" width="19.453125" style="2" customWidth="1"/>
    <col min="13" max="13" width="18.81640625" style="2" customWidth="1"/>
    <col min="14" max="14" width="16.26953125" customWidth="1"/>
  </cols>
  <sheetData>
    <row r="1" spans="2:14" ht="16.5" customHeight="1" thickBot="1" x14ac:dyDescent="0.5"/>
    <row r="2" spans="2:14" ht="29.25" customHeight="1" thickBot="1" x14ac:dyDescent="0.4">
      <c r="B2" s="226" t="s">
        <v>1066</v>
      </c>
      <c r="C2" s="227"/>
      <c r="D2" s="227"/>
      <c r="E2" s="227"/>
      <c r="F2" s="227"/>
      <c r="G2" s="227"/>
      <c r="H2" s="227"/>
      <c r="I2" s="227"/>
      <c r="J2" s="227"/>
      <c r="K2" s="227"/>
      <c r="L2" s="227"/>
      <c r="M2" s="228"/>
    </row>
    <row r="3" spans="2:14" ht="16.5" customHeight="1" thickBot="1" x14ac:dyDescent="0.4">
      <c r="B3" s="229" t="s">
        <v>70</v>
      </c>
      <c r="C3" s="224"/>
      <c r="D3" s="68"/>
      <c r="E3" s="69"/>
      <c r="F3" s="223" t="s">
        <v>1050</v>
      </c>
      <c r="G3" s="224"/>
      <c r="H3" s="224"/>
      <c r="I3" s="224"/>
      <c r="J3" s="224"/>
      <c r="K3" s="224"/>
      <c r="L3" s="224"/>
      <c r="M3" s="225"/>
    </row>
    <row r="4" spans="2:14" ht="32.25" customHeight="1" thickBot="1" x14ac:dyDescent="0.4">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2:14" ht="189" customHeight="1" x14ac:dyDescent="0.35">
      <c r="B5" s="127">
        <v>1</v>
      </c>
      <c r="C5" s="117" t="s">
        <v>383</v>
      </c>
      <c r="D5" s="117" t="s">
        <v>17</v>
      </c>
      <c r="E5" s="118">
        <v>10</v>
      </c>
      <c r="F5" s="119" t="s">
        <v>1067</v>
      </c>
      <c r="G5" s="120" t="s">
        <v>739</v>
      </c>
      <c r="H5" s="53"/>
      <c r="I5" s="201" t="s">
        <v>1068</v>
      </c>
      <c r="J5" s="120" t="s">
        <v>1069</v>
      </c>
      <c r="K5" s="120"/>
      <c r="L5" s="121"/>
      <c r="M5" s="120"/>
      <c r="N5" s="122"/>
    </row>
    <row r="6" spans="2:14" ht="204.75" customHeight="1" x14ac:dyDescent="0.35">
      <c r="B6" s="50">
        <v>2</v>
      </c>
      <c r="C6" s="51" t="s">
        <v>1051</v>
      </c>
      <c r="D6" s="51" t="s">
        <v>17</v>
      </c>
      <c r="E6" s="52">
        <v>10</v>
      </c>
      <c r="F6" s="79" t="s">
        <v>1070</v>
      </c>
      <c r="G6" s="53" t="s">
        <v>420</v>
      </c>
      <c r="H6" s="53"/>
      <c r="I6" s="129" t="s">
        <v>1071</v>
      </c>
      <c r="J6" s="53" t="s">
        <v>1072</v>
      </c>
      <c r="K6" s="53"/>
      <c r="L6" s="54"/>
      <c r="M6" s="53"/>
      <c r="N6" s="55"/>
    </row>
    <row r="7" spans="2:14" ht="189" customHeight="1" x14ac:dyDescent="0.35">
      <c r="B7" s="50">
        <v>3</v>
      </c>
      <c r="C7" s="51" t="s">
        <v>1051</v>
      </c>
      <c r="D7" s="137" t="s">
        <v>103</v>
      </c>
      <c r="E7" s="177">
        <v>10</v>
      </c>
      <c r="F7" s="79" t="s">
        <v>1073</v>
      </c>
      <c r="G7" s="53" t="s">
        <v>941</v>
      </c>
      <c r="H7" s="53"/>
      <c r="I7" s="129" t="s">
        <v>1074</v>
      </c>
      <c r="J7" s="53" t="s">
        <v>1075</v>
      </c>
      <c r="K7" s="56"/>
      <c r="L7" s="57"/>
      <c r="M7" s="56"/>
      <c r="N7" s="58"/>
    </row>
    <row r="8" spans="2:14" ht="189" customHeight="1" x14ac:dyDescent="0.35">
      <c r="B8" s="50">
        <v>4</v>
      </c>
      <c r="C8" s="51" t="s">
        <v>1051</v>
      </c>
      <c r="D8" s="137" t="s">
        <v>103</v>
      </c>
      <c r="E8" s="177">
        <v>10</v>
      </c>
      <c r="F8" s="79" t="s">
        <v>1076</v>
      </c>
      <c r="G8" s="53" t="s">
        <v>941</v>
      </c>
      <c r="H8" s="53"/>
      <c r="I8" s="129" t="s">
        <v>1077</v>
      </c>
      <c r="J8" s="53" t="s">
        <v>1078</v>
      </c>
      <c r="K8" s="56"/>
      <c r="L8" s="57"/>
      <c r="M8" s="56"/>
      <c r="N8" s="58"/>
    </row>
    <row r="9" spans="2:14" ht="315" customHeight="1" x14ac:dyDescent="0.35">
      <c r="B9" s="50">
        <v>5</v>
      </c>
      <c r="C9" s="51" t="s">
        <v>1051</v>
      </c>
      <c r="D9" s="137" t="s">
        <v>17</v>
      </c>
      <c r="E9" s="177">
        <v>10</v>
      </c>
      <c r="F9" s="79" t="s">
        <v>1079</v>
      </c>
      <c r="G9" s="53" t="s">
        <v>1080</v>
      </c>
      <c r="H9" s="53" t="s">
        <v>1081</v>
      </c>
      <c r="I9" s="129" t="s">
        <v>1082</v>
      </c>
      <c r="J9" s="53" t="s">
        <v>1083</v>
      </c>
      <c r="K9" s="56"/>
      <c r="L9" s="57"/>
      <c r="M9" s="56"/>
      <c r="N9" s="58"/>
    </row>
    <row r="10" spans="2:14" ht="255" customHeight="1" x14ac:dyDescent="0.35">
      <c r="B10" s="50">
        <v>6</v>
      </c>
      <c r="C10" s="51" t="s">
        <v>810</v>
      </c>
      <c r="D10" s="51" t="s">
        <v>17</v>
      </c>
      <c r="E10" s="52">
        <v>10</v>
      </c>
      <c r="F10" s="79" t="s">
        <v>1084</v>
      </c>
      <c r="G10" s="53" t="s">
        <v>941</v>
      </c>
      <c r="H10" s="53"/>
      <c r="I10" s="16" t="s">
        <v>1085</v>
      </c>
      <c r="J10" s="53" t="s">
        <v>1086</v>
      </c>
      <c r="K10" s="53"/>
      <c r="L10" s="54"/>
      <c r="M10" s="53"/>
      <c r="N10" s="55"/>
    </row>
    <row r="11" spans="2:14" ht="315" customHeight="1" x14ac:dyDescent="0.35">
      <c r="B11" s="50">
        <v>7</v>
      </c>
      <c r="C11" s="51" t="s">
        <v>810</v>
      </c>
      <c r="D11" s="51" t="s">
        <v>103</v>
      </c>
      <c r="E11" s="52">
        <v>10</v>
      </c>
      <c r="F11" s="53" t="s">
        <v>1087</v>
      </c>
      <c r="G11" s="53" t="s">
        <v>941</v>
      </c>
      <c r="H11" s="53"/>
      <c r="I11" s="16" t="s">
        <v>1088</v>
      </c>
      <c r="J11" s="53" t="s">
        <v>1089</v>
      </c>
      <c r="K11" s="53"/>
      <c r="L11" s="54"/>
      <c r="M11" s="53"/>
      <c r="N11" s="55"/>
    </row>
    <row r="12" spans="2:14" ht="270" customHeight="1" x14ac:dyDescent="0.35">
      <c r="B12" s="50">
        <v>8</v>
      </c>
      <c r="C12" s="51" t="s">
        <v>810</v>
      </c>
      <c r="D12" s="51" t="s">
        <v>103</v>
      </c>
      <c r="E12" s="52">
        <v>10</v>
      </c>
      <c r="F12" s="53" t="s">
        <v>1090</v>
      </c>
      <c r="G12" s="53" t="s">
        <v>941</v>
      </c>
      <c r="H12" s="53"/>
      <c r="I12" s="16" t="s">
        <v>1091</v>
      </c>
      <c r="J12" s="53" t="s">
        <v>1092</v>
      </c>
      <c r="K12" s="53"/>
      <c r="L12" s="54"/>
      <c r="M12" s="53"/>
      <c r="N12" s="55"/>
    </row>
    <row r="13" spans="2:14" ht="255" customHeight="1" x14ac:dyDescent="0.35">
      <c r="B13" s="50">
        <v>9</v>
      </c>
      <c r="C13" s="51" t="s">
        <v>810</v>
      </c>
      <c r="D13" s="51" t="s">
        <v>103</v>
      </c>
      <c r="E13" s="52">
        <v>10</v>
      </c>
      <c r="F13" s="53" t="s">
        <v>1093</v>
      </c>
      <c r="G13" s="53" t="s">
        <v>941</v>
      </c>
      <c r="H13" s="53"/>
      <c r="I13" s="16" t="s">
        <v>1094</v>
      </c>
      <c r="J13" s="53" t="s">
        <v>1095</v>
      </c>
      <c r="K13" s="53"/>
      <c r="L13" s="54"/>
      <c r="M13" s="53"/>
      <c r="N13" s="55"/>
    </row>
    <row r="14" spans="2:14" ht="48" customHeight="1" thickBot="1" x14ac:dyDescent="0.4">
      <c r="B14" s="59">
        <v>10</v>
      </c>
      <c r="C14" s="60" t="s">
        <v>614</v>
      </c>
      <c r="D14" s="60" t="s">
        <v>103</v>
      </c>
      <c r="E14" s="61">
        <v>10</v>
      </c>
      <c r="F14" s="62" t="s">
        <v>57</v>
      </c>
      <c r="G14" s="62" t="s">
        <v>68</v>
      </c>
      <c r="H14" s="53"/>
      <c r="I14" s="62" t="s">
        <v>59</v>
      </c>
      <c r="J14" s="62" t="s">
        <v>60</v>
      </c>
      <c r="K14" s="62"/>
      <c r="L14" s="63"/>
      <c r="M14" s="62"/>
      <c r="N14" s="64"/>
    </row>
    <row r="15" spans="2:14" x14ac:dyDescent="0.45">
      <c r="F15" s="40"/>
      <c r="G15" s="40"/>
      <c r="H15" s="40"/>
      <c r="I15" s="40"/>
      <c r="J15" s="40"/>
      <c r="K15" s="40"/>
      <c r="L15" s="40"/>
      <c r="M15" s="40"/>
    </row>
  </sheetData>
  <mergeCells count="3">
    <mergeCell ref="F3:M3"/>
    <mergeCell ref="B2:M2"/>
    <mergeCell ref="B3:C3"/>
  </mergeCells>
  <conditionalFormatting sqref="K5:K13">
    <cfRule type="cellIs" dxfId="122" priority="8" operator="equal">
      <formula>"Not Tested"</formula>
    </cfRule>
    <cfRule type="cellIs" dxfId="121" priority="9" operator="equal">
      <formula>"Not Applicable"</formula>
    </cfRule>
    <cfRule type="cellIs" dxfId="120" priority="10" operator="equal">
      <formula>"Pass"</formula>
    </cfRule>
    <cfRule type="cellIs" dxfId="119" priority="11" operator="equal">
      <formula>"Not Tested"</formula>
    </cfRule>
    <cfRule type="cellIs" dxfId="118" priority="12" operator="equal">
      <formula>"Not Applicable"</formula>
    </cfRule>
    <cfRule type="cellIs" dxfId="117" priority="13" operator="equal">
      <formula>"Fail"</formula>
    </cfRule>
    <cfRule type="cellIs" dxfId="116" priority="14" operator="equal">
      <formula>"Pass"</formula>
    </cfRule>
  </conditionalFormatting>
  <conditionalFormatting sqref="L5:L14">
    <cfRule type="cellIs" dxfId="115" priority="1" operator="equal">
      <formula>"Cancelled"</formula>
    </cfRule>
    <cfRule type="cellIs" dxfId="114" priority="2" operator="equal">
      <formula>"N/A"</formula>
    </cfRule>
    <cfRule type="cellIs" dxfId="113" priority="3" operator="equal">
      <formula>"Pass"</formula>
    </cfRule>
    <cfRule type="cellIs" dxfId="112" priority="4" operator="equal">
      <formula>"In-Progress"</formula>
    </cfRule>
    <cfRule type="cellIs" dxfId="111" priority="5" operator="equal">
      <formula>"Blocked"</formula>
    </cfRule>
    <cfRule type="cellIs" dxfId="110" priority="6" operator="equal">
      <formula>"Fail"</formula>
    </cfRule>
    <cfRule type="cellIs" dxfId="109" priority="7" operator="equal">
      <formula>"Pass"</formula>
    </cfRule>
  </conditionalFormatting>
  <dataValidations count="1">
    <dataValidation type="list" allowBlank="1" showInputMessage="1" showErrorMessage="1" sqref="L5:L14" xr:uid="{00000000-0002-0000-18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B1:N24"/>
  <sheetViews>
    <sheetView zoomScale="60" zoomScaleNormal="60" workbookViewId="0">
      <selection activeCell="I7" sqref="I7"/>
    </sheetView>
  </sheetViews>
  <sheetFormatPr defaultColWidth="8.7265625" defaultRowHeight="14.5" x14ac:dyDescent="0.35"/>
  <cols>
    <col min="1" max="1" width="3.26953125" customWidth="1"/>
    <col min="2" max="2" width="6.81640625" customWidth="1"/>
    <col min="3" max="3" width="20.54296875" customWidth="1"/>
    <col min="4" max="4" width="13.453125" customWidth="1"/>
    <col min="5" max="5" width="11.26953125" style="32" customWidth="1"/>
    <col min="6" max="6" width="37.26953125" customWidth="1"/>
    <col min="7" max="7" width="48.54296875" customWidth="1"/>
    <col min="8" max="8" width="55.1796875" customWidth="1"/>
    <col min="9" max="9" width="36.7265625" customWidth="1"/>
    <col min="10" max="10" width="50.26953125" customWidth="1"/>
    <col min="11" max="11" width="14.54296875" customWidth="1"/>
    <col min="12" max="12" width="19.453125" customWidth="1"/>
    <col min="13" max="13" width="18.81640625" customWidth="1"/>
    <col min="14" max="14" width="17.7265625" customWidth="1"/>
  </cols>
  <sheetData>
    <row r="1" spans="2:14" ht="15.75" customHeight="1" thickBot="1" x14ac:dyDescent="0.4"/>
    <row r="2" spans="2:14" ht="29.25" customHeight="1" thickBot="1" x14ac:dyDescent="0.4">
      <c r="B2" s="226" t="s">
        <v>1096</v>
      </c>
      <c r="C2" s="227"/>
      <c r="D2" s="227"/>
      <c r="E2" s="227"/>
      <c r="F2" s="227"/>
      <c r="G2" s="227"/>
      <c r="H2" s="227"/>
      <c r="I2" s="227"/>
      <c r="J2" s="227"/>
      <c r="K2" s="227"/>
      <c r="L2" s="227"/>
      <c r="M2" s="228"/>
    </row>
    <row r="3" spans="2:14" ht="16.5" customHeight="1" thickBot="1" x14ac:dyDescent="0.4">
      <c r="B3" s="229" t="s">
        <v>1</v>
      </c>
      <c r="C3" s="224"/>
      <c r="D3" s="68"/>
      <c r="E3" s="69"/>
      <c r="F3" s="223" t="s">
        <v>1097</v>
      </c>
      <c r="G3" s="224"/>
      <c r="H3" s="224"/>
      <c r="I3" s="224"/>
      <c r="J3" s="224"/>
      <c r="K3" s="224"/>
      <c r="L3" s="224"/>
      <c r="M3" s="225"/>
    </row>
    <row r="4" spans="2:14" ht="32.25" customHeight="1" thickBot="1" x14ac:dyDescent="0.4">
      <c r="B4" s="123" t="s">
        <v>3</v>
      </c>
      <c r="C4" s="124" t="s">
        <v>4</v>
      </c>
      <c r="D4" s="124" t="s">
        <v>5</v>
      </c>
      <c r="E4" s="125" t="s">
        <v>6</v>
      </c>
      <c r="F4" s="124" t="s">
        <v>7</v>
      </c>
      <c r="G4" s="124" t="s">
        <v>8</v>
      </c>
      <c r="H4" s="124" t="s">
        <v>9</v>
      </c>
      <c r="I4" s="124" t="s">
        <v>10</v>
      </c>
      <c r="J4" s="124" t="s">
        <v>11</v>
      </c>
      <c r="K4" s="124" t="s">
        <v>12</v>
      </c>
      <c r="L4" s="124" t="s">
        <v>13</v>
      </c>
      <c r="M4" s="124" t="s">
        <v>14</v>
      </c>
      <c r="N4" s="126" t="s">
        <v>15</v>
      </c>
    </row>
    <row r="5" spans="2:14" ht="141.75" customHeight="1" x14ac:dyDescent="0.4">
      <c r="B5" s="127">
        <v>1</v>
      </c>
      <c r="C5" s="117" t="s">
        <v>614</v>
      </c>
      <c r="D5" s="117" t="s">
        <v>17</v>
      </c>
      <c r="E5" s="118">
        <v>3</v>
      </c>
      <c r="F5" s="149" t="s">
        <v>1098</v>
      </c>
      <c r="G5" s="120" t="s">
        <v>307</v>
      </c>
      <c r="H5" s="53"/>
      <c r="I5" s="120" t="s">
        <v>1099</v>
      </c>
      <c r="J5" s="120" t="s">
        <v>1100</v>
      </c>
      <c r="K5" s="170"/>
      <c r="L5" s="121"/>
      <c r="M5" s="121"/>
      <c r="N5" s="172"/>
    </row>
    <row r="6" spans="2:14" ht="110.25" customHeight="1" x14ac:dyDescent="0.45">
      <c r="B6" s="50">
        <v>2</v>
      </c>
      <c r="C6" s="51" t="s">
        <v>614</v>
      </c>
      <c r="D6" s="51" t="s">
        <v>17</v>
      </c>
      <c r="E6" s="52">
        <v>3</v>
      </c>
      <c r="F6" s="111" t="s">
        <v>1101</v>
      </c>
      <c r="G6" s="53" t="s">
        <v>1102</v>
      </c>
      <c r="H6" s="53"/>
      <c r="I6" s="53" t="s">
        <v>1103</v>
      </c>
      <c r="J6" s="70" t="s">
        <v>1104</v>
      </c>
      <c r="K6" s="51"/>
      <c r="L6" s="54"/>
      <c r="M6" s="54"/>
      <c r="N6" s="72"/>
    </row>
    <row r="7" spans="2:14" ht="267.75" customHeight="1" x14ac:dyDescent="0.45">
      <c r="B7" s="50">
        <v>3</v>
      </c>
      <c r="C7" s="51" t="s">
        <v>614</v>
      </c>
      <c r="D7" s="51" t="s">
        <v>17</v>
      </c>
      <c r="E7" s="52">
        <v>5</v>
      </c>
      <c r="F7" s="111" t="s">
        <v>1105</v>
      </c>
      <c r="G7" s="53" t="s">
        <v>1106</v>
      </c>
      <c r="H7" s="53"/>
      <c r="I7" s="111" t="s">
        <v>1107</v>
      </c>
      <c r="J7" s="79" t="s">
        <v>288</v>
      </c>
      <c r="K7" s="51"/>
      <c r="L7" s="54"/>
      <c r="M7" s="54"/>
      <c r="N7" s="72"/>
    </row>
    <row r="8" spans="2:14" ht="204.75" customHeight="1" x14ac:dyDescent="0.45">
      <c r="B8" s="50">
        <v>4</v>
      </c>
      <c r="C8" s="51" t="s">
        <v>614</v>
      </c>
      <c r="D8" s="51" t="s">
        <v>17</v>
      </c>
      <c r="E8" s="52">
        <v>4</v>
      </c>
      <c r="F8" s="111" t="s">
        <v>1108</v>
      </c>
      <c r="G8" s="53" t="s">
        <v>1109</v>
      </c>
      <c r="H8" s="53"/>
      <c r="I8" s="53" t="s">
        <v>1110</v>
      </c>
      <c r="J8" s="53" t="s">
        <v>1111</v>
      </c>
      <c r="K8" s="51"/>
      <c r="L8" s="54"/>
      <c r="M8" s="54"/>
      <c r="N8" s="72"/>
    </row>
    <row r="9" spans="2:14" ht="173.25" customHeight="1" x14ac:dyDescent="0.45">
      <c r="B9" s="50">
        <v>5</v>
      </c>
      <c r="C9" s="51" t="s">
        <v>614</v>
      </c>
      <c r="D9" s="51" t="s">
        <v>17</v>
      </c>
      <c r="E9" s="52">
        <v>4</v>
      </c>
      <c r="F9" s="111" t="s">
        <v>1112</v>
      </c>
      <c r="G9" s="53" t="s">
        <v>1109</v>
      </c>
      <c r="H9" s="53"/>
      <c r="I9" s="53" t="s">
        <v>1113</v>
      </c>
      <c r="J9" s="53" t="s">
        <v>1114</v>
      </c>
      <c r="K9" s="51"/>
      <c r="L9" s="54"/>
      <c r="M9" s="54"/>
      <c r="N9" s="72"/>
    </row>
    <row r="10" spans="2:14" ht="110.25" customHeight="1" x14ac:dyDescent="0.45">
      <c r="B10" s="50">
        <v>6</v>
      </c>
      <c r="C10" s="51" t="s">
        <v>614</v>
      </c>
      <c r="D10" s="51" t="s">
        <v>17</v>
      </c>
      <c r="E10" s="52">
        <v>3</v>
      </c>
      <c r="F10" s="111" t="s">
        <v>1115</v>
      </c>
      <c r="G10" s="53" t="s">
        <v>1106</v>
      </c>
      <c r="H10" s="53"/>
      <c r="I10" s="53" t="s">
        <v>1116</v>
      </c>
      <c r="J10" s="53" t="s">
        <v>1117</v>
      </c>
      <c r="K10" s="51"/>
      <c r="L10" s="54"/>
      <c r="M10" s="54"/>
      <c r="N10" s="72"/>
    </row>
    <row r="11" spans="2:14" ht="110.25" customHeight="1" x14ac:dyDescent="0.45">
      <c r="B11" s="50">
        <v>7</v>
      </c>
      <c r="C11" s="51" t="s">
        <v>614</v>
      </c>
      <c r="D11" s="51" t="s">
        <v>17</v>
      </c>
      <c r="E11" s="52">
        <v>3</v>
      </c>
      <c r="F11" s="111" t="s">
        <v>1118</v>
      </c>
      <c r="G11" s="53" t="s">
        <v>1106</v>
      </c>
      <c r="H11" s="53"/>
      <c r="I11" s="53" t="s">
        <v>1119</v>
      </c>
      <c r="J11" s="53" t="s">
        <v>1120</v>
      </c>
      <c r="K11" s="51"/>
      <c r="L11" s="54"/>
      <c r="M11" s="54"/>
      <c r="N11" s="72"/>
    </row>
    <row r="12" spans="2:14" ht="110.25" customHeight="1" x14ac:dyDescent="0.45">
      <c r="B12" s="50">
        <v>8</v>
      </c>
      <c r="C12" s="51" t="s">
        <v>614</v>
      </c>
      <c r="D12" s="51" t="s">
        <v>17</v>
      </c>
      <c r="E12" s="52">
        <v>3</v>
      </c>
      <c r="F12" s="111" t="s">
        <v>1121</v>
      </c>
      <c r="G12" s="53" t="s">
        <v>1106</v>
      </c>
      <c r="H12" s="53"/>
      <c r="I12" s="53" t="s">
        <v>1122</v>
      </c>
      <c r="J12" s="53" t="s">
        <v>1123</v>
      </c>
      <c r="K12" s="51"/>
      <c r="L12" s="54"/>
      <c r="M12" s="54"/>
      <c r="N12" s="72"/>
    </row>
    <row r="13" spans="2:14" ht="110.25" customHeight="1" x14ac:dyDescent="0.45">
      <c r="B13" s="50">
        <v>9</v>
      </c>
      <c r="C13" s="51" t="s">
        <v>614</v>
      </c>
      <c r="D13" s="51" t="s">
        <v>17</v>
      </c>
      <c r="E13" s="52">
        <v>3</v>
      </c>
      <c r="F13" s="111" t="s">
        <v>1124</v>
      </c>
      <c r="G13" s="53" t="s">
        <v>1106</v>
      </c>
      <c r="H13" s="53"/>
      <c r="I13" s="53" t="s">
        <v>1125</v>
      </c>
      <c r="J13" s="53" t="s">
        <v>1126</v>
      </c>
      <c r="K13" s="51"/>
      <c r="L13" s="54"/>
      <c r="M13" s="54"/>
      <c r="N13" s="72"/>
    </row>
    <row r="14" spans="2:14" ht="110.25" customHeight="1" x14ac:dyDescent="0.45">
      <c r="B14" s="50">
        <v>10</v>
      </c>
      <c r="C14" s="51" t="s">
        <v>614</v>
      </c>
      <c r="D14" s="51" t="s">
        <v>17</v>
      </c>
      <c r="E14" s="52">
        <v>3</v>
      </c>
      <c r="F14" s="111" t="s">
        <v>1127</v>
      </c>
      <c r="G14" s="53" t="s">
        <v>1106</v>
      </c>
      <c r="H14" s="53"/>
      <c r="I14" s="53" t="s">
        <v>1128</v>
      </c>
      <c r="J14" s="53" t="s">
        <v>1129</v>
      </c>
      <c r="K14" s="51"/>
      <c r="L14" s="54"/>
      <c r="M14" s="54"/>
      <c r="N14" s="72"/>
    </row>
    <row r="15" spans="2:14" ht="110.25" customHeight="1" x14ac:dyDescent="0.45">
      <c r="B15" s="50">
        <v>11</v>
      </c>
      <c r="C15" s="51" t="s">
        <v>383</v>
      </c>
      <c r="D15" s="51" t="s">
        <v>17</v>
      </c>
      <c r="E15" s="52">
        <v>3</v>
      </c>
      <c r="F15" s="111" t="s">
        <v>1130</v>
      </c>
      <c r="G15" s="53" t="s">
        <v>1106</v>
      </c>
      <c r="H15" s="53"/>
      <c r="I15" s="53" t="s">
        <v>1131</v>
      </c>
      <c r="J15" s="53" t="s">
        <v>1132</v>
      </c>
      <c r="K15" s="51"/>
      <c r="L15" s="54"/>
      <c r="M15" s="54"/>
      <c r="N15" s="72"/>
    </row>
    <row r="16" spans="2:14" ht="110.25" customHeight="1" x14ac:dyDescent="0.45">
      <c r="B16" s="50">
        <v>12</v>
      </c>
      <c r="C16" s="51" t="s">
        <v>614</v>
      </c>
      <c r="D16" s="51" t="s">
        <v>17</v>
      </c>
      <c r="E16" s="52">
        <v>3</v>
      </c>
      <c r="F16" s="111" t="s">
        <v>1133</v>
      </c>
      <c r="G16" s="53" t="s">
        <v>1106</v>
      </c>
      <c r="H16" s="53"/>
      <c r="I16" s="53" t="s">
        <v>1134</v>
      </c>
      <c r="J16" s="53" t="s">
        <v>1135</v>
      </c>
      <c r="K16" s="51"/>
      <c r="L16" s="54"/>
      <c r="M16" s="54"/>
      <c r="N16" s="72"/>
    </row>
    <row r="17" spans="2:14" ht="110.25" customHeight="1" x14ac:dyDescent="0.45">
      <c r="B17" s="50">
        <v>13</v>
      </c>
      <c r="C17" s="51" t="s">
        <v>614</v>
      </c>
      <c r="D17" s="51" t="s">
        <v>17</v>
      </c>
      <c r="E17" s="52">
        <v>3</v>
      </c>
      <c r="F17" s="111" t="s">
        <v>1136</v>
      </c>
      <c r="G17" s="53" t="s">
        <v>1137</v>
      </c>
      <c r="H17" s="53"/>
      <c r="I17" s="53" t="s">
        <v>1138</v>
      </c>
      <c r="J17" s="53" t="s">
        <v>1139</v>
      </c>
      <c r="K17" s="51"/>
      <c r="L17" s="54"/>
      <c r="M17" s="54"/>
      <c r="N17" s="72"/>
    </row>
    <row r="18" spans="2:14" ht="110.25" customHeight="1" x14ac:dyDescent="0.45">
      <c r="B18" s="50">
        <v>14</v>
      </c>
      <c r="C18" s="51" t="s">
        <v>614</v>
      </c>
      <c r="D18" s="51" t="s">
        <v>17</v>
      </c>
      <c r="E18" s="52">
        <v>3</v>
      </c>
      <c r="F18" s="111" t="s">
        <v>1140</v>
      </c>
      <c r="G18" s="53" t="s">
        <v>1137</v>
      </c>
      <c r="H18" s="53"/>
      <c r="I18" s="53" t="s">
        <v>1141</v>
      </c>
      <c r="J18" s="53" t="s">
        <v>1142</v>
      </c>
      <c r="K18" s="51"/>
      <c r="L18" s="54"/>
      <c r="M18" s="54"/>
      <c r="N18" s="72"/>
    </row>
    <row r="19" spans="2:14" ht="110.25" customHeight="1" x14ac:dyDescent="0.45">
      <c r="B19" s="50">
        <v>15</v>
      </c>
      <c r="C19" s="51" t="s">
        <v>614</v>
      </c>
      <c r="D19" s="51" t="s">
        <v>17</v>
      </c>
      <c r="E19" s="52">
        <v>3</v>
      </c>
      <c r="F19" s="111" t="s">
        <v>1143</v>
      </c>
      <c r="G19" s="53" t="s">
        <v>1137</v>
      </c>
      <c r="H19" s="53"/>
      <c r="I19" s="53" t="s">
        <v>1144</v>
      </c>
      <c r="J19" s="53" t="s">
        <v>1145</v>
      </c>
      <c r="K19" s="51"/>
      <c r="L19" s="54"/>
      <c r="M19" s="54"/>
      <c r="N19" s="72"/>
    </row>
    <row r="20" spans="2:14" ht="285.75" customHeight="1" x14ac:dyDescent="0.45">
      <c r="B20" s="50">
        <v>16</v>
      </c>
      <c r="C20" s="51" t="s">
        <v>614</v>
      </c>
      <c r="D20" s="51" t="s">
        <v>17</v>
      </c>
      <c r="E20" s="52">
        <v>3</v>
      </c>
      <c r="F20" s="111" t="s">
        <v>1146</v>
      </c>
      <c r="G20" s="53" t="s">
        <v>1137</v>
      </c>
      <c r="H20" s="53"/>
      <c r="I20" s="53" t="s">
        <v>1147</v>
      </c>
      <c r="J20" s="186" t="s">
        <v>1148</v>
      </c>
      <c r="K20" s="51"/>
      <c r="L20" s="54"/>
      <c r="M20" s="54"/>
      <c r="N20" s="72"/>
    </row>
    <row r="21" spans="2:14" ht="126" customHeight="1" x14ac:dyDescent="0.45">
      <c r="B21" s="50">
        <v>17</v>
      </c>
      <c r="C21" s="51" t="s">
        <v>614</v>
      </c>
      <c r="D21" s="51" t="s">
        <v>17</v>
      </c>
      <c r="E21" s="52">
        <v>3</v>
      </c>
      <c r="F21" s="111" t="s">
        <v>1149</v>
      </c>
      <c r="G21" s="67" t="s">
        <v>1150</v>
      </c>
      <c r="H21" s="53"/>
      <c r="I21" s="53" t="s">
        <v>1151</v>
      </c>
      <c r="J21" s="53" t="s">
        <v>1152</v>
      </c>
      <c r="K21" s="51"/>
      <c r="L21" s="54"/>
      <c r="M21" s="71"/>
      <c r="N21" s="72"/>
    </row>
    <row r="22" spans="2:14" ht="126" customHeight="1" x14ac:dyDescent="0.45">
      <c r="B22" s="50">
        <v>18</v>
      </c>
      <c r="C22" s="51" t="s">
        <v>614</v>
      </c>
      <c r="D22" s="51" t="s">
        <v>26</v>
      </c>
      <c r="E22" s="52">
        <v>3</v>
      </c>
      <c r="F22" s="67" t="s">
        <v>1153</v>
      </c>
      <c r="G22" s="67" t="s">
        <v>1150</v>
      </c>
      <c r="H22" s="53"/>
      <c r="I22" s="53" t="s">
        <v>1154</v>
      </c>
      <c r="J22" s="53" t="s">
        <v>1155</v>
      </c>
      <c r="K22" s="51"/>
      <c r="L22" s="54"/>
      <c r="M22" s="71"/>
      <c r="N22" s="72"/>
    </row>
    <row r="23" spans="2:14" ht="110.25" customHeight="1" x14ac:dyDescent="0.35">
      <c r="B23" s="50">
        <v>19</v>
      </c>
      <c r="C23" s="51" t="s">
        <v>614</v>
      </c>
      <c r="D23" s="51" t="s">
        <v>103</v>
      </c>
      <c r="E23" s="52">
        <v>15</v>
      </c>
      <c r="F23" s="53" t="s">
        <v>852</v>
      </c>
      <c r="G23" s="53" t="s">
        <v>1156</v>
      </c>
      <c r="H23" s="53"/>
      <c r="I23" s="53" t="s">
        <v>853</v>
      </c>
      <c r="J23" s="53" t="s">
        <v>854</v>
      </c>
      <c r="K23" s="51"/>
      <c r="L23" s="54"/>
      <c r="M23" s="186"/>
      <c r="N23" s="134"/>
    </row>
    <row r="24" spans="2:14" ht="48" customHeight="1" thickBot="1" x14ac:dyDescent="0.5">
      <c r="B24" s="59">
        <v>20</v>
      </c>
      <c r="C24" s="60" t="s">
        <v>614</v>
      </c>
      <c r="D24" s="60" t="s">
        <v>26</v>
      </c>
      <c r="E24" s="61">
        <v>3</v>
      </c>
      <c r="F24" s="73" t="s">
        <v>61</v>
      </c>
      <c r="G24" s="73" t="s">
        <v>1157</v>
      </c>
      <c r="H24" s="53"/>
      <c r="I24" s="62" t="s">
        <v>63</v>
      </c>
      <c r="J24" s="62" t="s">
        <v>1158</v>
      </c>
      <c r="K24" s="60"/>
      <c r="L24" s="63"/>
      <c r="M24" s="74"/>
      <c r="N24" s="75"/>
    </row>
  </sheetData>
  <mergeCells count="3">
    <mergeCell ref="F3:M3"/>
    <mergeCell ref="B2:M2"/>
    <mergeCell ref="B3:C3"/>
  </mergeCells>
  <conditionalFormatting sqref="K5:K24">
    <cfRule type="cellIs" dxfId="108" priority="15" operator="equal">
      <formula>"Not Tested"</formula>
    </cfRule>
    <cfRule type="cellIs" dxfId="107" priority="16" operator="equal">
      <formula>"Not Applicable"</formula>
    </cfRule>
    <cfRule type="cellIs" dxfId="106" priority="17" operator="equal">
      <formula>"Pass"</formula>
    </cfRule>
    <cfRule type="cellIs" dxfId="105" priority="18" operator="equal">
      <formula>"Not Tested"</formula>
    </cfRule>
    <cfRule type="cellIs" dxfId="104" priority="19" operator="equal">
      <formula>"Not Applicable"</formula>
    </cfRule>
    <cfRule type="cellIs" dxfId="103" priority="20" operator="equal">
      <formula>"Fail"</formula>
    </cfRule>
  </conditionalFormatting>
  <conditionalFormatting sqref="K5:L24">
    <cfRule type="cellIs" dxfId="102" priority="7" operator="equal">
      <formula>"Pass"</formula>
    </cfRule>
  </conditionalFormatting>
  <conditionalFormatting sqref="L5:L24">
    <cfRule type="cellIs" dxfId="101" priority="1" operator="equal">
      <formula>"Cancelled"</formula>
    </cfRule>
    <cfRule type="cellIs" dxfId="100" priority="2" operator="equal">
      <formula>"N/A"</formula>
    </cfRule>
    <cfRule type="cellIs" dxfId="99" priority="4" operator="equal">
      <formula>"In-Progress"</formula>
    </cfRule>
    <cfRule type="cellIs" dxfId="98" priority="5" operator="equal">
      <formula>"Blocked"</formula>
    </cfRule>
  </conditionalFormatting>
  <conditionalFormatting sqref="L14:L24">
    <cfRule type="cellIs" dxfId="97" priority="3" operator="equal">
      <formula>"Pass"</formula>
    </cfRule>
    <cfRule type="cellIs" dxfId="96" priority="6" operator="equal">
      <formula>"Fail"</formula>
    </cfRule>
  </conditionalFormatting>
  <conditionalFormatting sqref="L5:M13">
    <cfRule type="cellIs" dxfId="95" priority="24" operator="equal">
      <formula>"Pass"</formula>
    </cfRule>
    <cfRule type="cellIs" dxfId="94" priority="27" operator="equal">
      <formula>"Fail"</formula>
    </cfRule>
  </conditionalFormatting>
  <conditionalFormatting sqref="M5:M20">
    <cfRule type="cellIs" dxfId="93" priority="8" operator="equal">
      <formula>"Cancelled"</formula>
    </cfRule>
    <cfRule type="cellIs" dxfId="92" priority="9" operator="equal">
      <formula>"N/A"</formula>
    </cfRule>
    <cfRule type="cellIs" dxfId="91" priority="11" operator="equal">
      <formula>"In-Progress"</formula>
    </cfRule>
    <cfRule type="cellIs" dxfId="90" priority="12" operator="equal">
      <formula>"Blocked"</formula>
    </cfRule>
    <cfRule type="cellIs" dxfId="89" priority="14" operator="equal">
      <formula>"Pass"</formula>
    </cfRule>
  </conditionalFormatting>
  <conditionalFormatting sqref="M14:M20">
    <cfRule type="cellIs" dxfId="88" priority="10" operator="equal">
      <formula>"Pass"</formula>
    </cfRule>
    <cfRule type="cellIs" dxfId="87" priority="13" operator="equal">
      <formula>"Fail"</formula>
    </cfRule>
  </conditionalFormatting>
  <dataValidations count="1">
    <dataValidation type="list" allowBlank="1" showInputMessage="1" showErrorMessage="1" sqref="L5:L24" xr:uid="{00000000-0002-0000-19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N7"/>
  <sheetViews>
    <sheetView topLeftCell="B1" zoomScale="70" zoomScaleNormal="70" workbookViewId="0">
      <selection activeCell="J21" sqref="J21"/>
    </sheetView>
  </sheetViews>
  <sheetFormatPr defaultColWidth="8.7265625" defaultRowHeight="15.5" x14ac:dyDescent="0.45"/>
  <cols>
    <col min="1" max="1" width="8.7265625" style="46" customWidth="1"/>
    <col min="2" max="2" width="10.26953125" style="43" customWidth="1"/>
    <col min="3" max="3" width="15.1796875" style="80" customWidth="1"/>
    <col min="4" max="4" width="14.54296875" style="43" customWidth="1"/>
    <col min="5" max="5" width="11.26953125" style="81" customWidth="1"/>
    <col min="6" max="6" width="55.54296875" style="43" customWidth="1"/>
    <col min="7" max="7" width="50.453125" style="43" customWidth="1"/>
    <col min="8" max="8" width="58.54296875" style="43" customWidth="1"/>
    <col min="9" max="9" width="56.26953125" style="44" customWidth="1"/>
    <col min="10" max="10" width="42.26953125" style="44" customWidth="1"/>
    <col min="11" max="11" width="13.1796875" style="44" customWidth="1"/>
    <col min="12" max="12" width="19.453125" style="43" customWidth="1"/>
    <col min="13" max="13" width="18.81640625" style="43" customWidth="1"/>
    <col min="14" max="14" width="14" style="46" customWidth="1"/>
    <col min="15" max="61" width="8.7265625" style="46" customWidth="1"/>
    <col min="62" max="16384" width="8.7265625" style="46"/>
  </cols>
  <sheetData>
    <row r="1" spans="1:14" ht="16.5" customHeight="1" thickBot="1" x14ac:dyDescent="0.5"/>
    <row r="2" spans="1:14" ht="29.25" customHeight="1" thickBot="1" x14ac:dyDescent="0.4">
      <c r="B2" s="226" t="s">
        <v>1159</v>
      </c>
      <c r="C2" s="227"/>
      <c r="D2" s="227"/>
      <c r="E2" s="227"/>
      <c r="F2" s="227"/>
      <c r="G2" s="227"/>
      <c r="H2" s="227"/>
      <c r="I2" s="227"/>
      <c r="J2" s="227"/>
      <c r="K2" s="227"/>
      <c r="L2" s="227"/>
      <c r="M2" s="228"/>
    </row>
    <row r="3" spans="1:14" ht="16.5" customHeight="1" thickBot="1" x14ac:dyDescent="0.4">
      <c r="B3" s="229" t="s">
        <v>70</v>
      </c>
      <c r="C3" s="224"/>
      <c r="D3" s="68"/>
      <c r="E3" s="69"/>
      <c r="F3" s="223" t="s">
        <v>1160</v>
      </c>
      <c r="G3" s="224"/>
      <c r="H3" s="224"/>
      <c r="I3" s="224"/>
      <c r="J3" s="224"/>
      <c r="K3" s="224"/>
      <c r="L3" s="224"/>
      <c r="M3" s="225"/>
    </row>
    <row r="4" spans="1:14" ht="48" customHeight="1" thickBot="1" x14ac:dyDescent="0.4">
      <c r="A4"/>
      <c r="B4" s="209" t="s">
        <v>3</v>
      </c>
      <c r="C4" s="210" t="s">
        <v>4</v>
      </c>
      <c r="D4" s="210" t="s">
        <v>5</v>
      </c>
      <c r="E4" s="211" t="s">
        <v>6</v>
      </c>
      <c r="F4" s="210" t="s">
        <v>7</v>
      </c>
      <c r="G4" s="210" t="s">
        <v>8</v>
      </c>
      <c r="H4" s="210" t="s">
        <v>9</v>
      </c>
      <c r="I4" s="210" t="s">
        <v>10</v>
      </c>
      <c r="J4" s="210" t="s">
        <v>11</v>
      </c>
      <c r="K4" s="210" t="s">
        <v>12</v>
      </c>
      <c r="L4" s="210" t="s">
        <v>13</v>
      </c>
      <c r="M4" s="210" t="s">
        <v>14</v>
      </c>
      <c r="N4" s="212" t="s">
        <v>15</v>
      </c>
    </row>
    <row r="5" spans="1:14" ht="78.75" customHeight="1" x14ac:dyDescent="0.35">
      <c r="B5" s="213">
        <v>1</v>
      </c>
      <c r="C5" s="121" t="s">
        <v>1161</v>
      </c>
      <c r="D5" s="121" t="s">
        <v>17</v>
      </c>
      <c r="E5" s="214">
        <v>30</v>
      </c>
      <c r="F5" s="215" t="s">
        <v>1162</v>
      </c>
      <c r="G5" s="194" t="s">
        <v>1163</v>
      </c>
      <c r="H5" s="194"/>
      <c r="I5" s="216" t="s">
        <v>1164</v>
      </c>
      <c r="J5" s="194" t="s">
        <v>1165</v>
      </c>
      <c r="K5" s="194"/>
      <c r="L5" s="121"/>
      <c r="M5" s="194"/>
      <c r="N5" s="141"/>
    </row>
    <row r="6" spans="1:14" ht="79.5" customHeight="1" thickBot="1" x14ac:dyDescent="0.4">
      <c r="B6" s="202">
        <v>2</v>
      </c>
      <c r="C6" s="63" t="s">
        <v>1161</v>
      </c>
      <c r="D6" s="63" t="s">
        <v>17</v>
      </c>
      <c r="E6" s="203">
        <v>30</v>
      </c>
      <c r="F6" s="204" t="s">
        <v>1166</v>
      </c>
      <c r="G6" s="205" t="s">
        <v>1167</v>
      </c>
      <c r="H6" s="205"/>
      <c r="I6" s="206" t="s">
        <v>1168</v>
      </c>
      <c r="J6" s="205" t="s">
        <v>1169</v>
      </c>
      <c r="K6" s="205"/>
      <c r="L6" s="63"/>
      <c r="M6" s="205"/>
      <c r="N6" s="207"/>
    </row>
    <row r="7" spans="1:14" x14ac:dyDescent="0.45">
      <c r="F7" s="175"/>
      <c r="G7" s="175"/>
      <c r="H7" s="175"/>
      <c r="I7" s="175"/>
      <c r="J7" s="175"/>
      <c r="K7" s="175"/>
      <c r="L7" s="175"/>
      <c r="M7" s="175"/>
    </row>
  </sheetData>
  <mergeCells count="3">
    <mergeCell ref="F3:M3"/>
    <mergeCell ref="B2:M2"/>
    <mergeCell ref="B3:C3"/>
  </mergeCells>
  <conditionalFormatting sqref="K5:K6">
    <cfRule type="cellIs" dxfId="86" priority="8" operator="equal">
      <formula>"Not Tested"</formula>
    </cfRule>
    <cfRule type="cellIs" dxfId="85" priority="9" operator="equal">
      <formula>"Not Applicable"</formula>
    </cfRule>
    <cfRule type="cellIs" dxfId="84" priority="10" operator="equal">
      <formula>"Pass"</formula>
    </cfRule>
    <cfRule type="cellIs" dxfId="83" priority="11" operator="equal">
      <formula>"Not Tested"</formula>
    </cfRule>
    <cfRule type="cellIs" dxfId="82" priority="12" operator="equal">
      <formula>"Not Applicable"</formula>
    </cfRule>
    <cfRule type="cellIs" dxfId="81" priority="13" operator="equal">
      <formula>"Fail"</formula>
    </cfRule>
  </conditionalFormatting>
  <conditionalFormatting sqref="K5:L6">
    <cfRule type="cellIs" dxfId="80" priority="7" operator="equal">
      <formula>"Pass"</formula>
    </cfRule>
  </conditionalFormatting>
  <conditionalFormatting sqref="L5:L6">
    <cfRule type="cellIs" dxfId="79" priority="1" operator="equal">
      <formula>"Cancelled"</formula>
    </cfRule>
    <cfRule type="cellIs" dxfId="78" priority="2" operator="equal">
      <formula>"N/A"</formula>
    </cfRule>
    <cfRule type="cellIs" dxfId="77" priority="3" operator="equal">
      <formula>"Pass"</formula>
    </cfRule>
    <cfRule type="cellIs" dxfId="76" priority="4" operator="equal">
      <formula>"In-Progress"</formula>
    </cfRule>
    <cfRule type="cellIs" dxfId="75" priority="5" operator="equal">
      <formula>"Blocked"</formula>
    </cfRule>
    <cfRule type="cellIs" dxfId="74" priority="6" operator="equal">
      <formula>"Fail"</formula>
    </cfRule>
  </conditionalFormatting>
  <dataValidations count="1">
    <dataValidation type="list" allowBlank="1" showInputMessage="1" showErrorMessage="1" sqref="L5:L6" xr:uid="{00000000-0002-0000-1A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B1:N18"/>
  <sheetViews>
    <sheetView topLeftCell="F14" zoomScale="60" zoomScaleNormal="60" workbookViewId="0">
      <selection activeCell="B19" sqref="B19"/>
    </sheetView>
  </sheetViews>
  <sheetFormatPr defaultColWidth="8.7265625" defaultRowHeight="15.5" x14ac:dyDescent="0.45"/>
  <cols>
    <col min="2" max="2" width="10.26953125" style="2" customWidth="1"/>
    <col min="3" max="3" width="15.1796875" style="8" customWidth="1"/>
    <col min="4" max="4" width="14.54296875" style="2" customWidth="1"/>
    <col min="5" max="5" width="11.26953125" style="36" customWidth="1"/>
    <col min="6" max="6" width="90.1796875" style="2" customWidth="1"/>
    <col min="7" max="7" width="50.453125" style="2" customWidth="1"/>
    <col min="8" max="8" width="58.54296875" style="2" customWidth="1"/>
    <col min="9" max="9" width="56.26953125" style="1" customWidth="1"/>
    <col min="10" max="10" width="47.81640625" style="1" customWidth="1"/>
    <col min="11" max="11" width="13.1796875" style="1" customWidth="1"/>
    <col min="12" max="12" width="12.7265625" style="2" customWidth="1"/>
    <col min="13" max="13" width="12.81640625" style="2" customWidth="1"/>
    <col min="14" max="14" width="15.26953125" customWidth="1"/>
  </cols>
  <sheetData>
    <row r="1" spans="2:14" ht="16.5" customHeight="1" thickBot="1" x14ac:dyDescent="0.5"/>
    <row r="2" spans="2:14" ht="29.25" customHeight="1" thickBot="1" x14ac:dyDescent="0.4">
      <c r="B2" s="241" t="s">
        <v>1170</v>
      </c>
      <c r="C2" s="227"/>
      <c r="D2" s="227"/>
      <c r="E2" s="227"/>
      <c r="F2" s="227"/>
      <c r="G2" s="227"/>
      <c r="H2" s="227"/>
      <c r="I2" s="227"/>
      <c r="J2" s="227"/>
      <c r="K2" s="227"/>
      <c r="L2" s="227"/>
      <c r="M2" s="228"/>
    </row>
    <row r="3" spans="2:14" ht="16.5" customHeight="1" thickBot="1" x14ac:dyDescent="0.4">
      <c r="B3" s="240" t="s">
        <v>70</v>
      </c>
      <c r="C3" s="224"/>
      <c r="D3" s="31"/>
      <c r="E3" s="33"/>
      <c r="F3" s="238" t="s">
        <v>1171</v>
      </c>
      <c r="G3" s="224"/>
      <c r="H3" s="224"/>
      <c r="I3" s="224"/>
      <c r="J3" s="224"/>
      <c r="K3" s="224"/>
      <c r="L3" s="224"/>
      <c r="M3" s="225"/>
    </row>
    <row r="4" spans="2:14" ht="16.5" customHeight="1" x14ac:dyDescent="0.35">
      <c r="B4" s="197" t="s">
        <v>3</v>
      </c>
      <c r="C4" s="19" t="s">
        <v>4</v>
      </c>
      <c r="D4" s="19" t="s">
        <v>5</v>
      </c>
      <c r="E4" s="217" t="s">
        <v>6</v>
      </c>
      <c r="F4" s="19" t="s">
        <v>7</v>
      </c>
      <c r="G4" s="19" t="s">
        <v>8</v>
      </c>
      <c r="H4" s="19" t="s">
        <v>9</v>
      </c>
      <c r="I4" s="19" t="s">
        <v>10</v>
      </c>
      <c r="J4" s="19" t="s">
        <v>11</v>
      </c>
      <c r="K4" s="19" t="s">
        <v>12</v>
      </c>
      <c r="L4" s="19" t="s">
        <v>13</v>
      </c>
      <c r="M4" s="19" t="s">
        <v>14</v>
      </c>
      <c r="N4" s="20" t="s">
        <v>15</v>
      </c>
    </row>
    <row r="5" spans="2:14" ht="173.25" customHeight="1" x14ac:dyDescent="0.35">
      <c r="B5" s="50">
        <v>1</v>
      </c>
      <c r="C5" s="51" t="s">
        <v>1051</v>
      </c>
      <c r="D5" s="51" t="s">
        <v>17</v>
      </c>
      <c r="E5" s="52">
        <v>10</v>
      </c>
      <c r="F5" s="79" t="s">
        <v>1172</v>
      </c>
      <c r="G5" s="53" t="s">
        <v>1173</v>
      </c>
      <c r="H5" s="53" t="s">
        <v>1174</v>
      </c>
      <c r="I5" s="16" t="s">
        <v>1175</v>
      </c>
      <c r="J5" s="53" t="s">
        <v>1176</v>
      </c>
      <c r="K5" s="3"/>
      <c r="L5" s="9"/>
      <c r="M5" s="3"/>
      <c r="N5" s="13"/>
    </row>
    <row r="6" spans="2:14" ht="267.75" customHeight="1" x14ac:dyDescent="0.45">
      <c r="B6" s="50">
        <v>2</v>
      </c>
      <c r="C6" s="51" t="s">
        <v>16</v>
      </c>
      <c r="D6" s="51" t="s">
        <v>26</v>
      </c>
      <c r="E6" s="52">
        <v>5</v>
      </c>
      <c r="F6" s="67" t="s">
        <v>1177</v>
      </c>
      <c r="G6" s="53" t="s">
        <v>307</v>
      </c>
      <c r="H6" s="53" t="s">
        <v>1178</v>
      </c>
      <c r="I6" s="53" t="s">
        <v>1179</v>
      </c>
      <c r="J6" s="53" t="s">
        <v>1180</v>
      </c>
      <c r="K6" s="51"/>
      <c r="L6" s="54"/>
      <c r="M6" s="71"/>
      <c r="N6" s="72"/>
    </row>
    <row r="7" spans="2:14" ht="409.5" customHeight="1" x14ac:dyDescent="0.35">
      <c r="B7" s="50">
        <v>3</v>
      </c>
      <c r="C7" s="51" t="s">
        <v>1051</v>
      </c>
      <c r="D7" s="51" t="s">
        <v>17</v>
      </c>
      <c r="E7" s="52">
        <v>10</v>
      </c>
      <c r="F7" s="79" t="s">
        <v>1181</v>
      </c>
      <c r="G7" s="53" t="s">
        <v>1182</v>
      </c>
      <c r="H7" s="53"/>
      <c r="I7" s="16" t="s">
        <v>1183</v>
      </c>
      <c r="J7" s="53" t="s">
        <v>1184</v>
      </c>
      <c r="K7" s="53"/>
      <c r="L7" s="54"/>
      <c r="M7" s="53"/>
      <c r="N7" s="55"/>
    </row>
    <row r="8" spans="2:14" ht="409.5" customHeight="1" x14ac:dyDescent="0.35">
      <c r="B8" s="4">
        <v>4</v>
      </c>
      <c r="C8" s="51" t="s">
        <v>1051</v>
      </c>
      <c r="D8" s="7" t="s">
        <v>17</v>
      </c>
      <c r="E8" s="34">
        <v>10</v>
      </c>
      <c r="F8" s="79" t="s">
        <v>1185</v>
      </c>
      <c r="G8" s="53"/>
      <c r="H8" s="53" t="s">
        <v>1182</v>
      </c>
      <c r="I8" s="53" t="s">
        <v>1186</v>
      </c>
      <c r="J8" s="53" t="s">
        <v>1187</v>
      </c>
      <c r="K8" s="3"/>
      <c r="L8" s="9"/>
      <c r="M8" s="3"/>
      <c r="N8" s="13"/>
    </row>
    <row r="9" spans="2:14" ht="409.5" customHeight="1" x14ac:dyDescent="0.45">
      <c r="B9" s="50">
        <v>5</v>
      </c>
      <c r="C9" s="51" t="s">
        <v>16</v>
      </c>
      <c r="D9" s="51" t="s">
        <v>17</v>
      </c>
      <c r="E9" s="52">
        <v>5</v>
      </c>
      <c r="F9" s="176" t="s">
        <v>1188</v>
      </c>
      <c r="G9" s="70" t="s">
        <v>999</v>
      </c>
      <c r="H9" s="221" t="s">
        <v>1189</v>
      </c>
      <c r="I9" s="70" t="s">
        <v>1190</v>
      </c>
      <c r="J9" s="70" t="s">
        <v>1191</v>
      </c>
      <c r="K9" s="53"/>
      <c r="L9" s="54"/>
      <c r="M9" s="54"/>
      <c r="N9" s="72"/>
    </row>
    <row r="10" spans="2:14" ht="104.25" customHeight="1" x14ac:dyDescent="0.35">
      <c r="B10" s="50">
        <v>6</v>
      </c>
      <c r="C10" s="51" t="s">
        <v>1051</v>
      </c>
      <c r="D10" s="51" t="s">
        <v>103</v>
      </c>
      <c r="E10" s="52">
        <f>(10+10+10)/3</f>
        <v>10</v>
      </c>
      <c r="F10" s="79" t="s">
        <v>1192</v>
      </c>
      <c r="G10" s="53"/>
      <c r="H10" s="53" t="s">
        <v>1193</v>
      </c>
      <c r="I10" s="53" t="s">
        <v>1194</v>
      </c>
      <c r="J10" s="53" t="s">
        <v>1195</v>
      </c>
      <c r="K10" s="53"/>
      <c r="L10" s="54"/>
      <c r="M10" s="53"/>
      <c r="N10" s="55"/>
    </row>
    <row r="11" spans="2:14" ht="107.25" customHeight="1" x14ac:dyDescent="0.35">
      <c r="B11" s="50">
        <v>7</v>
      </c>
      <c r="C11" s="51" t="s">
        <v>1051</v>
      </c>
      <c r="D11" s="51" t="s">
        <v>17</v>
      </c>
      <c r="E11" s="52">
        <v>10</v>
      </c>
      <c r="F11" s="53" t="s">
        <v>1196</v>
      </c>
      <c r="G11" s="53"/>
      <c r="H11" s="53" t="s">
        <v>1197</v>
      </c>
      <c r="I11" s="16" t="s">
        <v>1198</v>
      </c>
      <c r="J11" s="53" t="s">
        <v>1199</v>
      </c>
      <c r="K11" s="53"/>
      <c r="L11" s="53"/>
      <c r="M11" s="53"/>
      <c r="N11" s="55"/>
    </row>
    <row r="12" spans="2:14" ht="149.25" customHeight="1" x14ac:dyDescent="0.35">
      <c r="B12" s="4">
        <v>8</v>
      </c>
      <c r="C12" s="51" t="s">
        <v>16</v>
      </c>
      <c r="D12" s="7" t="s">
        <v>17</v>
      </c>
      <c r="E12" s="34">
        <v>10</v>
      </c>
      <c r="F12" s="79" t="s">
        <v>1200</v>
      </c>
      <c r="G12" s="53" t="s">
        <v>858</v>
      </c>
      <c r="H12" s="53" t="s">
        <v>1201</v>
      </c>
      <c r="I12" s="53" t="s">
        <v>1202</v>
      </c>
      <c r="J12" s="53" t="s">
        <v>1203</v>
      </c>
      <c r="K12" s="3"/>
      <c r="L12" s="9"/>
      <c r="M12" s="3"/>
      <c r="N12" s="13"/>
    </row>
    <row r="13" spans="2:14" ht="143.25" customHeight="1" x14ac:dyDescent="0.35">
      <c r="B13" s="50">
        <v>9</v>
      </c>
      <c r="C13" s="51" t="s">
        <v>1051</v>
      </c>
      <c r="D13" s="51" t="s">
        <v>17</v>
      </c>
      <c r="E13" s="52">
        <v>10</v>
      </c>
      <c r="F13" s="79" t="s">
        <v>1204</v>
      </c>
      <c r="G13" s="53"/>
      <c r="H13" s="53" t="s">
        <v>1205</v>
      </c>
      <c r="I13" s="16" t="s">
        <v>1206</v>
      </c>
      <c r="J13" s="53" t="s">
        <v>1207</v>
      </c>
      <c r="K13" s="3"/>
      <c r="L13" s="9"/>
      <c r="M13" s="3"/>
      <c r="N13" s="13"/>
    </row>
    <row r="14" spans="2:14" ht="213.75" customHeight="1" x14ac:dyDescent="0.35">
      <c r="B14" s="50">
        <v>10</v>
      </c>
      <c r="C14" s="51" t="s">
        <v>1051</v>
      </c>
      <c r="D14" s="51" t="s">
        <v>17</v>
      </c>
      <c r="E14" s="52">
        <v>10</v>
      </c>
      <c r="F14" s="79" t="s">
        <v>1208</v>
      </c>
      <c r="G14" s="53"/>
      <c r="H14" s="53" t="s">
        <v>1209</v>
      </c>
      <c r="I14" s="16" t="s">
        <v>1210</v>
      </c>
      <c r="J14" s="53" t="s">
        <v>1211</v>
      </c>
      <c r="K14" s="3"/>
      <c r="L14" s="9"/>
      <c r="M14" s="3"/>
      <c r="N14" s="13"/>
    </row>
    <row r="15" spans="2:14" ht="220.5" customHeight="1" x14ac:dyDescent="0.35">
      <c r="B15" s="50">
        <v>11</v>
      </c>
      <c r="C15" s="51" t="s">
        <v>1051</v>
      </c>
      <c r="D15" s="51" t="s">
        <v>17</v>
      </c>
      <c r="E15" s="52">
        <v>10</v>
      </c>
      <c r="F15" s="79" t="s">
        <v>1212</v>
      </c>
      <c r="G15" s="53"/>
      <c r="H15" s="53" t="s">
        <v>1213</v>
      </c>
      <c r="I15" s="16" t="s">
        <v>1214</v>
      </c>
      <c r="J15" s="53" t="s">
        <v>1215</v>
      </c>
      <c r="K15" s="3"/>
      <c r="L15" s="9"/>
      <c r="M15" s="3"/>
      <c r="N15" s="13"/>
    </row>
    <row r="16" spans="2:14" ht="315" customHeight="1" x14ac:dyDescent="0.45">
      <c r="B16" s="50">
        <v>12</v>
      </c>
      <c r="C16" s="51" t="s">
        <v>16</v>
      </c>
      <c r="D16" s="51" t="s">
        <v>103</v>
      </c>
      <c r="E16" s="52">
        <v>5</v>
      </c>
      <c r="F16" s="176" t="s">
        <v>1216</v>
      </c>
      <c r="G16" s="70" t="s">
        <v>999</v>
      </c>
      <c r="H16" s="221" t="s">
        <v>1217</v>
      </c>
      <c r="I16" s="70" t="s">
        <v>1218</v>
      </c>
      <c r="J16" s="70" t="s">
        <v>1219</v>
      </c>
      <c r="K16" s="70"/>
      <c r="L16" s="54"/>
      <c r="M16" s="54"/>
      <c r="N16" s="72"/>
    </row>
    <row r="17" spans="2:14" ht="190.5" customHeight="1" x14ac:dyDescent="0.35">
      <c r="B17" s="50">
        <v>13</v>
      </c>
      <c r="C17" s="51" t="s">
        <v>1051</v>
      </c>
      <c r="D17" s="51" t="s">
        <v>17</v>
      </c>
      <c r="E17" s="52">
        <v>10</v>
      </c>
      <c r="F17" s="53" t="s">
        <v>1220</v>
      </c>
      <c r="G17" s="53"/>
      <c r="H17" s="53" t="s">
        <v>1221</v>
      </c>
      <c r="I17" s="16" t="s">
        <v>1222</v>
      </c>
      <c r="J17" s="16" t="s">
        <v>1223</v>
      </c>
      <c r="K17" s="53"/>
      <c r="L17" s="53"/>
      <c r="M17" s="53"/>
      <c r="N17" s="55"/>
    </row>
    <row r="18" spans="2:14" ht="32.25" customHeight="1" thickBot="1" x14ac:dyDescent="0.4">
      <c r="B18" s="59">
        <v>14</v>
      </c>
      <c r="C18" s="60" t="s">
        <v>1051</v>
      </c>
      <c r="D18" s="60" t="s">
        <v>103</v>
      </c>
      <c r="E18" s="61">
        <v>10</v>
      </c>
      <c r="F18" s="94" t="s">
        <v>57</v>
      </c>
      <c r="G18" s="62"/>
      <c r="H18" s="62"/>
      <c r="I18" s="62" t="s">
        <v>59</v>
      </c>
      <c r="J18" s="62" t="s">
        <v>60</v>
      </c>
      <c r="K18" s="6"/>
      <c r="L18" s="11"/>
      <c r="M18" s="6"/>
      <c r="N18" s="14"/>
    </row>
  </sheetData>
  <mergeCells count="3">
    <mergeCell ref="F3:M3"/>
    <mergeCell ref="B2:M2"/>
    <mergeCell ref="B3:C3"/>
  </mergeCells>
  <conditionalFormatting sqref="K5">
    <cfRule type="cellIs" dxfId="73" priority="90" operator="equal">
      <formula>"Not Tested"</formula>
    </cfRule>
    <cfRule type="cellIs" dxfId="72" priority="91" operator="equal">
      <formula>"Not Applicable"</formula>
    </cfRule>
    <cfRule type="cellIs" dxfId="71" priority="92" operator="equal">
      <formula>"Pass"</formula>
    </cfRule>
    <cfRule type="cellIs" dxfId="70" priority="93" operator="equal">
      <formula>"Not Tested"</formula>
    </cfRule>
    <cfRule type="cellIs" dxfId="69" priority="94" operator="equal">
      <formula>"Not Applicable"</formula>
    </cfRule>
    <cfRule type="cellIs" dxfId="68" priority="95" operator="equal">
      <formula>"Fail"</formula>
    </cfRule>
    <cfRule type="cellIs" dxfId="67" priority="96" operator="equal">
      <formula>"Pass"</formula>
    </cfRule>
  </conditionalFormatting>
  <conditionalFormatting sqref="K7:K8">
    <cfRule type="cellIs" dxfId="66" priority="56" operator="equal">
      <formula>"Not Tested"</formula>
    </cfRule>
    <cfRule type="cellIs" dxfId="65" priority="57" operator="equal">
      <formula>"Not Applicable"</formula>
    </cfRule>
    <cfRule type="cellIs" dxfId="64" priority="58" operator="equal">
      <formula>"Pass"</formula>
    </cfRule>
    <cfRule type="cellIs" dxfId="63" priority="59" operator="equal">
      <formula>"Not Tested"</formula>
    </cfRule>
    <cfRule type="cellIs" dxfId="62" priority="60" operator="equal">
      <formula>"Not Applicable"</formula>
    </cfRule>
    <cfRule type="cellIs" dxfId="61" priority="61" operator="equal">
      <formula>"Fail"</formula>
    </cfRule>
  </conditionalFormatting>
  <conditionalFormatting sqref="K10:K15 K17">
    <cfRule type="cellIs" dxfId="60" priority="7" operator="equal">
      <formula>"Pass"</formula>
    </cfRule>
    <cfRule type="cellIs" dxfId="59" priority="8" operator="equal">
      <formula>"Not Tested"</formula>
    </cfRule>
    <cfRule type="cellIs" dxfId="58" priority="9" operator="equal">
      <formula>"Not Applicable"</formula>
    </cfRule>
    <cfRule type="cellIs" dxfId="57" priority="10" operator="equal">
      <formula>"Pass"</formula>
    </cfRule>
    <cfRule type="cellIs" dxfId="56" priority="11" operator="equal">
      <formula>"Not Tested"</formula>
    </cfRule>
    <cfRule type="cellIs" dxfId="55" priority="12" operator="equal">
      <formula>"Not Applicable"</formula>
    </cfRule>
    <cfRule type="cellIs" dxfId="54" priority="13" operator="equal">
      <formula>"Fail"</formula>
    </cfRule>
  </conditionalFormatting>
  <conditionalFormatting sqref="L5:L6 K7:L8">
    <cfRule type="cellIs" dxfId="53" priority="55" operator="equal">
      <formula>"Pass"</formula>
    </cfRule>
  </conditionalFormatting>
  <conditionalFormatting sqref="L5:L8">
    <cfRule type="cellIs" dxfId="52" priority="49" operator="equal">
      <formula>"Cancelled"</formula>
    </cfRule>
    <cfRule type="cellIs" dxfId="51" priority="50" operator="equal">
      <formula>"N/A"</formula>
    </cfRule>
    <cfRule type="cellIs" dxfId="50" priority="51" operator="equal">
      <formula>"Pass"</formula>
    </cfRule>
    <cfRule type="cellIs" dxfId="49" priority="52" operator="equal">
      <formula>"In-Progress"</formula>
    </cfRule>
    <cfRule type="cellIs" dxfId="48" priority="53" operator="equal">
      <formula>"Blocked"</formula>
    </cfRule>
    <cfRule type="cellIs" dxfId="47" priority="54" operator="equal">
      <formula>"Fail"</formula>
    </cfRule>
  </conditionalFormatting>
  <conditionalFormatting sqref="L9:M9 L10 L12:L15 L16:M16 L18">
    <cfRule type="cellIs" dxfId="46" priority="35" operator="equal">
      <formula>"Cancelled"</formula>
    </cfRule>
    <cfRule type="cellIs" dxfId="45" priority="36" operator="equal">
      <formula>"N/A"</formula>
    </cfRule>
    <cfRule type="cellIs" dxfId="44" priority="37" operator="equal">
      <formula>"Pass"</formula>
    </cfRule>
    <cfRule type="cellIs" dxfId="43" priority="38" operator="equal">
      <formula>"In-Progress"</formula>
    </cfRule>
    <cfRule type="cellIs" dxfId="42" priority="39" operator="equal">
      <formula>"Blocked"</formula>
    </cfRule>
    <cfRule type="cellIs" dxfId="41" priority="40" operator="equal">
      <formula>"Fail"</formula>
    </cfRule>
    <cfRule type="cellIs" dxfId="40" priority="41" operator="equal">
      <formula>"Pass"</formula>
    </cfRule>
  </conditionalFormatting>
  <dataValidations count="1">
    <dataValidation type="list" allowBlank="1" showInputMessage="1" showErrorMessage="1" sqref="L5:L10 L12 L16 L18" xr:uid="{00000000-0002-0000-1B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1"/>
  <dimension ref="B1:N57"/>
  <sheetViews>
    <sheetView topLeftCell="A24" zoomScale="80" zoomScaleNormal="80" workbookViewId="0">
      <selection activeCell="H60" sqref="H60"/>
    </sheetView>
  </sheetViews>
  <sheetFormatPr defaultColWidth="8.7265625" defaultRowHeight="15.5" x14ac:dyDescent="0.45"/>
  <cols>
    <col min="2" max="2" width="10.26953125" style="2" customWidth="1"/>
    <col min="3" max="3" width="28.54296875" style="8" customWidth="1"/>
    <col min="4" max="4" width="14.54296875" style="2" customWidth="1"/>
    <col min="5" max="5" width="11.26953125" style="36" customWidth="1"/>
    <col min="6" max="6" width="40.453125" style="2" customWidth="1"/>
    <col min="7" max="7" width="50.453125" style="2" customWidth="1"/>
    <col min="8" max="8" width="60.81640625" style="2" customWidth="1"/>
    <col min="9" max="9" width="56.26953125" style="1" customWidth="1"/>
    <col min="10" max="10" width="41" style="1" customWidth="1"/>
    <col min="11" max="11" width="13.1796875" style="1" customWidth="1"/>
    <col min="12" max="12" width="19.453125" style="2" customWidth="1"/>
    <col min="13" max="13" width="18.81640625" style="2" customWidth="1"/>
    <col min="14" max="14" width="15.1796875" customWidth="1"/>
  </cols>
  <sheetData>
    <row r="1" spans="2:14" ht="16.5" customHeight="1" thickBot="1" x14ac:dyDescent="0.5"/>
    <row r="2" spans="2:14" ht="29.25" customHeight="1" thickBot="1" x14ac:dyDescent="0.4">
      <c r="B2" s="226" t="s">
        <v>1224</v>
      </c>
      <c r="C2" s="227"/>
      <c r="D2" s="227"/>
      <c r="E2" s="227"/>
      <c r="F2" s="227"/>
      <c r="G2" s="227"/>
      <c r="H2" s="227"/>
      <c r="I2" s="227"/>
      <c r="J2" s="227"/>
      <c r="K2" s="227"/>
      <c r="L2" s="227"/>
      <c r="M2" s="228"/>
    </row>
    <row r="3" spans="2:14" ht="16.5" customHeight="1" thickBot="1" x14ac:dyDescent="0.4">
      <c r="B3" s="229" t="s">
        <v>70</v>
      </c>
      <c r="C3" s="224"/>
      <c r="D3" s="68"/>
      <c r="E3" s="69"/>
      <c r="F3" s="223" t="s">
        <v>1225</v>
      </c>
      <c r="G3" s="224"/>
      <c r="H3" s="224"/>
      <c r="I3" s="224"/>
      <c r="J3" s="224"/>
      <c r="K3" s="224"/>
      <c r="L3" s="224"/>
      <c r="M3" s="225"/>
    </row>
    <row r="4" spans="2:14" ht="48" customHeight="1" thickBot="1" x14ac:dyDescent="0.4">
      <c r="B4" s="181" t="s">
        <v>3</v>
      </c>
      <c r="C4" s="181" t="s">
        <v>4</v>
      </c>
      <c r="D4" s="181" t="s">
        <v>5</v>
      </c>
      <c r="E4" s="218" t="s">
        <v>6</v>
      </c>
      <c r="F4" s="181" t="s">
        <v>7</v>
      </c>
      <c r="G4" s="181" t="s">
        <v>8</v>
      </c>
      <c r="H4" s="181" t="s">
        <v>9</v>
      </c>
      <c r="I4" s="181" t="s">
        <v>10</v>
      </c>
      <c r="J4" s="181" t="s">
        <v>11</v>
      </c>
      <c r="K4" s="181" t="s">
        <v>12</v>
      </c>
      <c r="L4" s="181" t="s">
        <v>13</v>
      </c>
      <c r="M4" s="181" t="s">
        <v>14</v>
      </c>
      <c r="N4" s="181" t="s">
        <v>15</v>
      </c>
    </row>
    <row r="5" spans="2:14" ht="409.5" customHeight="1" x14ac:dyDescent="0.35">
      <c r="B5" s="127">
        <v>1</v>
      </c>
      <c r="C5" s="117" t="s">
        <v>1051</v>
      </c>
      <c r="D5" s="117" t="s">
        <v>17</v>
      </c>
      <c r="E5" s="118">
        <f t="shared" ref="E5:E14" si="0">(2+2+2)/3</f>
        <v>2</v>
      </c>
      <c r="F5" s="119" t="s">
        <v>1226</v>
      </c>
      <c r="G5" s="120" t="s">
        <v>1227</v>
      </c>
      <c r="H5" s="53" t="s">
        <v>1228</v>
      </c>
      <c r="I5" s="120" t="s">
        <v>1229</v>
      </c>
      <c r="J5" s="120" t="s">
        <v>1230</v>
      </c>
      <c r="K5" s="120"/>
      <c r="L5" s="121"/>
      <c r="M5" s="120"/>
      <c r="N5" s="122"/>
    </row>
    <row r="6" spans="2:14" ht="409.5" customHeight="1" x14ac:dyDescent="0.35">
      <c r="B6" s="50">
        <v>2</v>
      </c>
      <c r="C6" s="51" t="s">
        <v>1051</v>
      </c>
      <c r="D6" s="51" t="s">
        <v>103</v>
      </c>
      <c r="E6" s="52">
        <f t="shared" si="0"/>
        <v>2</v>
      </c>
      <c r="F6" s="79" t="s">
        <v>1231</v>
      </c>
      <c r="G6" s="53" t="s">
        <v>1227</v>
      </c>
      <c r="H6" s="53" t="s">
        <v>1228</v>
      </c>
      <c r="I6" s="53" t="s">
        <v>1232</v>
      </c>
      <c r="J6" s="53" t="s">
        <v>1233</v>
      </c>
      <c r="K6" s="53"/>
      <c r="L6" s="54"/>
      <c r="M6" s="53"/>
      <c r="N6" s="55"/>
    </row>
    <row r="7" spans="2:14" ht="409.5" customHeight="1" x14ac:dyDescent="0.35">
      <c r="B7" s="50">
        <v>3</v>
      </c>
      <c r="C7" s="51" t="s">
        <v>1051</v>
      </c>
      <c r="D7" s="51" t="s">
        <v>26</v>
      </c>
      <c r="E7" s="52">
        <f t="shared" si="0"/>
        <v>2</v>
      </c>
      <c r="F7" s="79" t="s">
        <v>1234</v>
      </c>
      <c r="G7" s="53" t="s">
        <v>1227</v>
      </c>
      <c r="H7" s="53" t="s">
        <v>1228</v>
      </c>
      <c r="I7" s="53" t="s">
        <v>1235</v>
      </c>
      <c r="J7" s="53" t="s">
        <v>1236</v>
      </c>
      <c r="K7" s="53"/>
      <c r="L7" s="54"/>
      <c r="M7" s="53"/>
      <c r="N7" s="55"/>
    </row>
    <row r="8" spans="2:14" ht="257.25" customHeight="1" x14ac:dyDescent="0.35">
      <c r="B8" s="50">
        <v>4</v>
      </c>
      <c r="C8" s="51" t="s">
        <v>1051</v>
      </c>
      <c r="D8" s="51" t="s">
        <v>17</v>
      </c>
      <c r="E8" s="52">
        <f t="shared" si="0"/>
        <v>2</v>
      </c>
      <c r="F8" s="53" t="s">
        <v>1237</v>
      </c>
      <c r="G8" s="53" t="s">
        <v>1238</v>
      </c>
      <c r="H8" s="53" t="s">
        <v>1239</v>
      </c>
      <c r="I8" s="53" t="s">
        <v>1240</v>
      </c>
      <c r="J8" s="53" t="s">
        <v>1241</v>
      </c>
      <c r="K8" s="53"/>
      <c r="L8" s="54"/>
      <c r="M8" s="53"/>
      <c r="N8" s="55"/>
    </row>
    <row r="9" spans="2:14" ht="236.25" customHeight="1" x14ac:dyDescent="0.35">
      <c r="B9" s="50">
        <v>5</v>
      </c>
      <c r="C9" s="51" t="s">
        <v>1051</v>
      </c>
      <c r="D9" s="51" t="s">
        <v>26</v>
      </c>
      <c r="E9" s="52">
        <f t="shared" si="0"/>
        <v>2</v>
      </c>
      <c r="F9" s="53" t="s">
        <v>1242</v>
      </c>
      <c r="G9" s="53" t="s">
        <v>1238</v>
      </c>
      <c r="H9" s="53" t="s">
        <v>1239</v>
      </c>
      <c r="I9" s="53" t="s">
        <v>1243</v>
      </c>
      <c r="J9" s="53" t="s">
        <v>1244</v>
      </c>
      <c r="K9" s="53"/>
      <c r="L9" s="54"/>
      <c r="M9" s="53"/>
      <c r="N9" s="55"/>
    </row>
    <row r="10" spans="2:14" ht="236.25" customHeight="1" x14ac:dyDescent="0.35">
      <c r="B10" s="50">
        <v>6</v>
      </c>
      <c r="C10" s="51" t="s">
        <v>1051</v>
      </c>
      <c r="D10" s="51" t="s">
        <v>103</v>
      </c>
      <c r="E10" s="52">
        <f t="shared" si="0"/>
        <v>2</v>
      </c>
      <c r="F10" s="53" t="s">
        <v>1245</v>
      </c>
      <c r="G10" s="53" t="s">
        <v>1238</v>
      </c>
      <c r="H10" s="53" t="s">
        <v>1246</v>
      </c>
      <c r="I10" s="53" t="s">
        <v>1247</v>
      </c>
      <c r="J10" s="53" t="s">
        <v>1248</v>
      </c>
      <c r="K10" s="53"/>
      <c r="L10" s="54"/>
      <c r="M10" s="53"/>
      <c r="N10" s="55"/>
    </row>
    <row r="11" spans="2:14" ht="236.25" customHeight="1" x14ac:dyDescent="0.35">
      <c r="B11" s="50">
        <v>7</v>
      </c>
      <c r="C11" s="51" t="s">
        <v>1051</v>
      </c>
      <c r="D11" s="51" t="s">
        <v>26</v>
      </c>
      <c r="E11" s="52">
        <f t="shared" si="0"/>
        <v>2</v>
      </c>
      <c r="F11" s="53" t="s">
        <v>1249</v>
      </c>
      <c r="G11" s="53" t="s">
        <v>1238</v>
      </c>
      <c r="H11" s="53" t="s">
        <v>1246</v>
      </c>
      <c r="I11" s="53" t="s">
        <v>1250</v>
      </c>
      <c r="J11" s="53" t="s">
        <v>1251</v>
      </c>
      <c r="K11" s="53"/>
      <c r="L11" s="54"/>
      <c r="M11" s="53"/>
      <c r="N11" s="55"/>
    </row>
    <row r="12" spans="2:14" ht="409.5" customHeight="1" x14ac:dyDescent="0.35">
      <c r="B12" s="50">
        <v>8</v>
      </c>
      <c r="C12" s="51" t="s">
        <v>1051</v>
      </c>
      <c r="D12" s="51" t="s">
        <v>26</v>
      </c>
      <c r="E12" s="52">
        <f t="shared" si="0"/>
        <v>2</v>
      </c>
      <c r="F12" s="53" t="s">
        <v>1252</v>
      </c>
      <c r="G12" s="53" t="s">
        <v>1238</v>
      </c>
      <c r="H12" s="53" t="s">
        <v>1253</v>
      </c>
      <c r="I12" s="53" t="s">
        <v>1254</v>
      </c>
      <c r="J12" s="53" t="s">
        <v>1255</v>
      </c>
      <c r="K12" s="53"/>
      <c r="L12" s="54"/>
      <c r="M12" s="53"/>
      <c r="N12" s="55"/>
    </row>
    <row r="13" spans="2:14" ht="409.5" customHeight="1" x14ac:dyDescent="0.35">
      <c r="B13" s="50">
        <v>9</v>
      </c>
      <c r="C13" s="51" t="s">
        <v>1051</v>
      </c>
      <c r="D13" s="51" t="s">
        <v>103</v>
      </c>
      <c r="E13" s="52">
        <f t="shared" si="0"/>
        <v>2</v>
      </c>
      <c r="F13" s="53" t="s">
        <v>1256</v>
      </c>
      <c r="G13" s="53" t="s">
        <v>1257</v>
      </c>
      <c r="H13" s="53" t="s">
        <v>1258</v>
      </c>
      <c r="I13" s="53" t="s">
        <v>1259</v>
      </c>
      <c r="J13" s="53" t="s">
        <v>1260</v>
      </c>
      <c r="K13" s="53"/>
      <c r="L13" s="54"/>
      <c r="M13" s="53"/>
      <c r="N13" s="55"/>
    </row>
    <row r="14" spans="2:14" ht="409.5" customHeight="1" x14ac:dyDescent="0.35">
      <c r="B14" s="50">
        <v>10</v>
      </c>
      <c r="C14" s="51" t="s">
        <v>1051</v>
      </c>
      <c r="D14" s="51" t="s">
        <v>103</v>
      </c>
      <c r="E14" s="52">
        <f t="shared" si="0"/>
        <v>2</v>
      </c>
      <c r="F14" s="53" t="s">
        <v>1261</v>
      </c>
      <c r="G14" s="53" t="s">
        <v>1257</v>
      </c>
      <c r="H14" s="53" t="s">
        <v>1262</v>
      </c>
      <c r="I14" s="53" t="s">
        <v>1263</v>
      </c>
      <c r="J14" s="53" t="s">
        <v>1264</v>
      </c>
      <c r="K14" s="53"/>
      <c r="L14" s="54"/>
      <c r="M14" s="53"/>
      <c r="N14" s="55"/>
    </row>
    <row r="15" spans="2:14" ht="141.75" customHeight="1" x14ac:dyDescent="0.35">
      <c r="B15" s="50">
        <v>11</v>
      </c>
      <c r="C15" s="51" t="s">
        <v>1051</v>
      </c>
      <c r="D15" s="51" t="s">
        <v>26</v>
      </c>
      <c r="E15" s="52">
        <f>(5+5+5)/3</f>
        <v>5</v>
      </c>
      <c r="F15" s="79" t="s">
        <v>1265</v>
      </c>
      <c r="G15" s="53" t="s">
        <v>1266</v>
      </c>
      <c r="H15" s="53" t="s">
        <v>1267</v>
      </c>
      <c r="I15" s="53" t="s">
        <v>1268</v>
      </c>
      <c r="J15" s="53" t="s">
        <v>1269</v>
      </c>
      <c r="K15" s="53"/>
      <c r="L15" s="54"/>
      <c r="M15" s="53"/>
      <c r="N15" s="55"/>
    </row>
    <row r="16" spans="2:14" ht="157.5" customHeight="1" x14ac:dyDescent="0.35">
      <c r="B16" s="50">
        <v>12</v>
      </c>
      <c r="C16" s="51" t="s">
        <v>1051</v>
      </c>
      <c r="D16" s="51" t="s">
        <v>26</v>
      </c>
      <c r="E16" s="52">
        <f>(5+5+5)/3</f>
        <v>5</v>
      </c>
      <c r="F16" s="79" t="s">
        <v>1270</v>
      </c>
      <c r="G16" s="53" t="s">
        <v>1266</v>
      </c>
      <c r="H16" s="53" t="s">
        <v>1267</v>
      </c>
      <c r="I16" s="53" t="s">
        <v>1268</v>
      </c>
      <c r="J16" s="53" t="s">
        <v>1271</v>
      </c>
      <c r="K16" s="53"/>
      <c r="L16" s="54"/>
      <c r="M16" s="53"/>
      <c r="N16" s="55"/>
    </row>
    <row r="17" spans="2:14" ht="173.25" customHeight="1" x14ac:dyDescent="0.35">
      <c r="B17" s="50">
        <v>13</v>
      </c>
      <c r="C17" s="51" t="s">
        <v>1051</v>
      </c>
      <c r="D17" s="51" t="s">
        <v>26</v>
      </c>
      <c r="E17" s="52">
        <f>(10+5+5)/3</f>
        <v>6.666666666666667</v>
      </c>
      <c r="F17" s="79" t="s">
        <v>1272</v>
      </c>
      <c r="G17" s="53" t="s">
        <v>1266</v>
      </c>
      <c r="H17" s="53" t="s">
        <v>1267</v>
      </c>
      <c r="I17" s="53" t="s">
        <v>1273</v>
      </c>
      <c r="J17" s="53" t="s">
        <v>1274</v>
      </c>
      <c r="K17" s="53"/>
      <c r="L17" s="54"/>
      <c r="M17" s="53"/>
      <c r="N17" s="55"/>
    </row>
    <row r="18" spans="2:14" ht="141.75" customHeight="1" x14ac:dyDescent="0.35">
      <c r="B18" s="50">
        <v>14</v>
      </c>
      <c r="C18" s="51" t="s">
        <v>1051</v>
      </c>
      <c r="D18" s="51" t="s">
        <v>26</v>
      </c>
      <c r="E18" s="52">
        <f>(5+5+5)/3</f>
        <v>5</v>
      </c>
      <c r="F18" s="79" t="s">
        <v>1275</v>
      </c>
      <c r="G18" s="53" t="s">
        <v>1266</v>
      </c>
      <c r="H18" s="53" t="s">
        <v>1267</v>
      </c>
      <c r="I18" s="53" t="s">
        <v>1276</v>
      </c>
      <c r="J18" s="53" t="s">
        <v>1277</v>
      </c>
      <c r="K18" s="53"/>
      <c r="L18" s="54"/>
      <c r="M18" s="53"/>
      <c r="N18" s="55"/>
    </row>
    <row r="19" spans="2:14" ht="141.75" customHeight="1" x14ac:dyDescent="0.35">
      <c r="B19" s="50">
        <v>15</v>
      </c>
      <c r="C19" s="51" t="s">
        <v>1051</v>
      </c>
      <c r="D19" s="51" t="s">
        <v>26</v>
      </c>
      <c r="E19" s="52">
        <f>(10+10+5)/3</f>
        <v>8.3333333333333339</v>
      </c>
      <c r="F19" s="79" t="s">
        <v>1278</v>
      </c>
      <c r="G19" s="53" t="s">
        <v>1266</v>
      </c>
      <c r="H19" s="53" t="s">
        <v>1267</v>
      </c>
      <c r="I19" s="53" t="s">
        <v>1279</v>
      </c>
      <c r="J19" s="53" t="s">
        <v>1280</v>
      </c>
      <c r="K19" s="53"/>
      <c r="L19" s="54"/>
      <c r="M19" s="53"/>
      <c r="N19" s="55"/>
    </row>
    <row r="20" spans="2:14" ht="141.75" customHeight="1" x14ac:dyDescent="0.35">
      <c r="B20" s="50">
        <v>16</v>
      </c>
      <c r="C20" s="51" t="s">
        <v>1051</v>
      </c>
      <c r="D20" s="51" t="s">
        <v>26</v>
      </c>
      <c r="E20" s="52">
        <f>(10+10+5)/3</f>
        <v>8.3333333333333339</v>
      </c>
      <c r="F20" s="79" t="s">
        <v>1281</v>
      </c>
      <c r="G20" s="53" t="s">
        <v>1266</v>
      </c>
      <c r="H20" s="53" t="s">
        <v>1267</v>
      </c>
      <c r="I20" s="53" t="s">
        <v>1282</v>
      </c>
      <c r="J20" s="53" t="s">
        <v>1283</v>
      </c>
      <c r="K20" s="53"/>
      <c r="L20" s="54"/>
      <c r="M20" s="53"/>
      <c r="N20" s="55"/>
    </row>
    <row r="21" spans="2:14" ht="141.75" customHeight="1" x14ac:dyDescent="0.35">
      <c r="B21" s="50">
        <v>17</v>
      </c>
      <c r="C21" s="51" t="s">
        <v>1051</v>
      </c>
      <c r="D21" s="51" t="s">
        <v>103</v>
      </c>
      <c r="E21" s="52">
        <f>(10+10+5)/3</f>
        <v>8.3333333333333339</v>
      </c>
      <c r="F21" s="79" t="s">
        <v>1284</v>
      </c>
      <c r="G21" s="53" t="s">
        <v>1266</v>
      </c>
      <c r="H21" s="53" t="s">
        <v>1267</v>
      </c>
      <c r="I21" s="53" t="s">
        <v>1282</v>
      </c>
      <c r="J21" s="53" t="s">
        <v>1285</v>
      </c>
      <c r="K21" s="53"/>
      <c r="L21" s="54"/>
      <c r="M21" s="53"/>
      <c r="N21" s="55"/>
    </row>
    <row r="22" spans="2:14" ht="157.5" customHeight="1" x14ac:dyDescent="0.35">
      <c r="B22" s="50">
        <v>18</v>
      </c>
      <c r="C22" s="51" t="s">
        <v>1051</v>
      </c>
      <c r="D22" s="51" t="s">
        <v>26</v>
      </c>
      <c r="E22" s="52">
        <f>(15+15+15)/3</f>
        <v>15</v>
      </c>
      <c r="F22" s="79" t="s">
        <v>1286</v>
      </c>
      <c r="G22" s="53" t="s">
        <v>1266</v>
      </c>
      <c r="H22" s="53" t="s">
        <v>1267</v>
      </c>
      <c r="I22" s="53" t="s">
        <v>1287</v>
      </c>
      <c r="J22" s="53" t="s">
        <v>1288</v>
      </c>
      <c r="K22" s="53"/>
      <c r="L22" s="54"/>
      <c r="M22" s="53"/>
      <c r="N22" s="55"/>
    </row>
    <row r="23" spans="2:14" ht="157.5" customHeight="1" x14ac:dyDescent="0.35">
      <c r="B23" s="50">
        <v>19</v>
      </c>
      <c r="C23" s="51" t="s">
        <v>1051</v>
      </c>
      <c r="D23" s="51" t="s">
        <v>103</v>
      </c>
      <c r="E23" s="52">
        <f>(10+10+5)/3</f>
        <v>8.3333333333333339</v>
      </c>
      <c r="F23" s="79" t="s">
        <v>1289</v>
      </c>
      <c r="G23" s="53" t="s">
        <v>1266</v>
      </c>
      <c r="H23" s="53" t="s">
        <v>1267</v>
      </c>
      <c r="I23" s="53" t="s">
        <v>1290</v>
      </c>
      <c r="J23" s="53" t="s">
        <v>1291</v>
      </c>
      <c r="K23" s="53"/>
      <c r="L23" s="54"/>
      <c r="M23" s="53"/>
      <c r="N23" s="55"/>
    </row>
    <row r="24" spans="2:14" ht="409.5" customHeight="1" x14ac:dyDescent="0.35">
      <c r="B24" s="50">
        <v>20</v>
      </c>
      <c r="C24" s="51" t="s">
        <v>1051</v>
      </c>
      <c r="D24" s="51" t="s">
        <v>17</v>
      </c>
      <c r="E24" s="52">
        <f>(15+15+15)/3</f>
        <v>15</v>
      </c>
      <c r="F24" s="79" t="s">
        <v>1292</v>
      </c>
      <c r="G24" s="53" t="s">
        <v>1266</v>
      </c>
      <c r="H24" s="53" t="s">
        <v>1293</v>
      </c>
      <c r="I24" s="53" t="s">
        <v>1294</v>
      </c>
      <c r="J24" s="53" t="s">
        <v>1295</v>
      </c>
      <c r="K24" s="53"/>
      <c r="L24" s="54"/>
      <c r="M24" s="53"/>
      <c r="N24" s="55"/>
    </row>
    <row r="25" spans="2:14" ht="267.75" customHeight="1" x14ac:dyDescent="0.35">
      <c r="B25" s="50">
        <v>21</v>
      </c>
      <c r="C25" s="51" t="s">
        <v>1051</v>
      </c>
      <c r="D25" s="51" t="s">
        <v>26</v>
      </c>
      <c r="E25" s="52">
        <f>(5+5+5)/3</f>
        <v>5</v>
      </c>
      <c r="F25" s="53" t="s">
        <v>1296</v>
      </c>
      <c r="G25" s="53" t="s">
        <v>1297</v>
      </c>
      <c r="H25" s="53" t="s">
        <v>1298</v>
      </c>
      <c r="I25" s="53" t="s">
        <v>1299</v>
      </c>
      <c r="J25" s="53" t="s">
        <v>1300</v>
      </c>
      <c r="K25" s="53"/>
      <c r="L25" s="54"/>
      <c r="M25" s="53"/>
      <c r="N25" s="55"/>
    </row>
    <row r="26" spans="2:14" ht="409.5" customHeight="1" x14ac:dyDescent="0.35">
      <c r="B26" s="50">
        <v>22</v>
      </c>
      <c r="C26" s="51" t="s">
        <v>1051</v>
      </c>
      <c r="D26" s="51" t="s">
        <v>17</v>
      </c>
      <c r="E26" s="52">
        <f t="shared" ref="E26:E39" si="1">(10+10+10)/3</f>
        <v>10</v>
      </c>
      <c r="F26" s="53" t="s">
        <v>1301</v>
      </c>
      <c r="G26" s="53" t="s">
        <v>1302</v>
      </c>
      <c r="H26" s="53" t="s">
        <v>1303</v>
      </c>
      <c r="I26" s="53" t="s">
        <v>1304</v>
      </c>
      <c r="J26" s="53" t="s">
        <v>1305</v>
      </c>
      <c r="K26" s="53"/>
      <c r="L26" s="54"/>
      <c r="M26" s="53"/>
      <c r="N26" s="55"/>
    </row>
    <row r="27" spans="2:14" ht="362.25" customHeight="1" x14ac:dyDescent="0.35">
      <c r="B27" s="50">
        <v>23</v>
      </c>
      <c r="C27" s="51" t="s">
        <v>1051</v>
      </c>
      <c r="D27" s="51" t="s">
        <v>103</v>
      </c>
      <c r="E27" s="52">
        <f t="shared" si="1"/>
        <v>10</v>
      </c>
      <c r="F27" s="53" t="s">
        <v>1306</v>
      </c>
      <c r="G27" s="53" t="s">
        <v>1302</v>
      </c>
      <c r="H27" s="53" t="s">
        <v>1307</v>
      </c>
      <c r="I27" s="53" t="s">
        <v>1308</v>
      </c>
      <c r="J27" s="53" t="s">
        <v>1309</v>
      </c>
      <c r="K27" s="53"/>
      <c r="L27" s="54"/>
      <c r="M27" s="53"/>
      <c r="N27" s="55"/>
    </row>
    <row r="28" spans="2:14" ht="362.25" customHeight="1" x14ac:dyDescent="0.35">
      <c r="B28" s="50">
        <v>24</v>
      </c>
      <c r="C28" s="51" t="s">
        <v>1051</v>
      </c>
      <c r="D28" s="51" t="s">
        <v>17</v>
      </c>
      <c r="E28" s="52">
        <f t="shared" si="1"/>
        <v>10</v>
      </c>
      <c r="F28" s="53" t="s">
        <v>1310</v>
      </c>
      <c r="G28" s="53" t="s">
        <v>1297</v>
      </c>
      <c r="H28" s="53" t="s">
        <v>1307</v>
      </c>
      <c r="I28" s="53" t="s">
        <v>1311</v>
      </c>
      <c r="J28" s="53" t="s">
        <v>1312</v>
      </c>
      <c r="K28" s="53"/>
      <c r="L28" s="54"/>
      <c r="M28" s="53"/>
      <c r="N28" s="55"/>
    </row>
    <row r="29" spans="2:14" ht="346.5" customHeight="1" x14ac:dyDescent="0.35">
      <c r="B29" s="50">
        <v>25</v>
      </c>
      <c r="C29" s="51" t="s">
        <v>1051</v>
      </c>
      <c r="D29" s="51" t="s">
        <v>103</v>
      </c>
      <c r="E29" s="52">
        <f t="shared" si="1"/>
        <v>10</v>
      </c>
      <c r="F29" s="53" t="s">
        <v>1313</v>
      </c>
      <c r="G29" s="53" t="s">
        <v>1297</v>
      </c>
      <c r="H29" s="53" t="s">
        <v>1314</v>
      </c>
      <c r="I29" s="53" t="s">
        <v>1315</v>
      </c>
      <c r="J29" s="53" t="s">
        <v>1316</v>
      </c>
      <c r="K29" s="53"/>
      <c r="L29" s="54"/>
      <c r="M29" s="53"/>
      <c r="N29" s="55"/>
    </row>
    <row r="30" spans="2:14" ht="346.5" customHeight="1" x14ac:dyDescent="0.35">
      <c r="B30" s="50">
        <v>26</v>
      </c>
      <c r="C30" s="51" t="s">
        <v>1051</v>
      </c>
      <c r="D30" s="51" t="s">
        <v>26</v>
      </c>
      <c r="E30" s="52">
        <f t="shared" si="1"/>
        <v>10</v>
      </c>
      <c r="F30" s="53" t="s">
        <v>1317</v>
      </c>
      <c r="G30" s="53" t="s">
        <v>1297</v>
      </c>
      <c r="H30" s="53" t="s">
        <v>1314</v>
      </c>
      <c r="I30" s="53" t="s">
        <v>1318</v>
      </c>
      <c r="J30" s="53" t="s">
        <v>1319</v>
      </c>
      <c r="K30" s="53"/>
      <c r="L30" s="54"/>
      <c r="M30" s="53"/>
      <c r="N30" s="55"/>
    </row>
    <row r="31" spans="2:14" ht="409.5" customHeight="1" x14ac:dyDescent="0.35">
      <c r="B31" s="50">
        <v>27</v>
      </c>
      <c r="C31" s="51" t="s">
        <v>1051</v>
      </c>
      <c r="D31" s="51" t="s">
        <v>26</v>
      </c>
      <c r="E31" s="52">
        <f t="shared" si="1"/>
        <v>10</v>
      </c>
      <c r="F31" s="53" t="s">
        <v>1320</v>
      </c>
      <c r="G31" s="53" t="s">
        <v>1297</v>
      </c>
      <c r="H31" s="53" t="s">
        <v>1321</v>
      </c>
      <c r="I31" s="53" t="s">
        <v>1304</v>
      </c>
      <c r="J31" s="53" t="s">
        <v>1322</v>
      </c>
      <c r="K31" s="53"/>
      <c r="L31" s="54"/>
      <c r="M31" s="53"/>
      <c r="N31" s="55"/>
    </row>
    <row r="32" spans="2:14" ht="362.25" customHeight="1" x14ac:dyDescent="0.35">
      <c r="B32" s="50">
        <v>28</v>
      </c>
      <c r="C32" s="51" t="s">
        <v>1051</v>
      </c>
      <c r="D32" s="51" t="s">
        <v>103</v>
      </c>
      <c r="E32" s="52">
        <f t="shared" si="1"/>
        <v>10</v>
      </c>
      <c r="F32" s="53" t="s">
        <v>1323</v>
      </c>
      <c r="G32" s="53" t="s">
        <v>1297</v>
      </c>
      <c r="H32" s="53" t="s">
        <v>1324</v>
      </c>
      <c r="I32" s="53" t="s">
        <v>1325</v>
      </c>
      <c r="J32" s="53" t="s">
        <v>1326</v>
      </c>
      <c r="K32" s="53"/>
      <c r="L32" s="54"/>
      <c r="M32" s="53"/>
      <c r="N32" s="55"/>
    </row>
    <row r="33" spans="2:14" ht="362.25" customHeight="1" x14ac:dyDescent="0.35">
      <c r="B33" s="50">
        <v>29</v>
      </c>
      <c r="C33" s="51" t="s">
        <v>1051</v>
      </c>
      <c r="D33" s="51" t="s">
        <v>103</v>
      </c>
      <c r="E33" s="52">
        <f t="shared" si="1"/>
        <v>10</v>
      </c>
      <c r="F33" s="53" t="s">
        <v>1327</v>
      </c>
      <c r="G33" s="53" t="s">
        <v>1297</v>
      </c>
      <c r="H33" s="53" t="s">
        <v>1324</v>
      </c>
      <c r="I33" s="53" t="s">
        <v>1328</v>
      </c>
      <c r="J33" s="53" t="s">
        <v>1329</v>
      </c>
      <c r="K33" s="53"/>
      <c r="L33" s="54"/>
      <c r="M33" s="53"/>
      <c r="N33" s="55"/>
    </row>
    <row r="34" spans="2:14" ht="409.5" customHeight="1" x14ac:dyDescent="0.35">
      <c r="B34" s="50">
        <v>30</v>
      </c>
      <c r="C34" s="51" t="s">
        <v>1051</v>
      </c>
      <c r="D34" s="51" t="s">
        <v>17</v>
      </c>
      <c r="E34" s="52">
        <f t="shared" si="1"/>
        <v>10</v>
      </c>
      <c r="F34" s="53" t="s">
        <v>1330</v>
      </c>
      <c r="G34" s="53" t="s">
        <v>1297</v>
      </c>
      <c r="H34" s="53" t="s">
        <v>1331</v>
      </c>
      <c r="I34" s="53" t="s">
        <v>1304</v>
      </c>
      <c r="J34" s="53" t="s">
        <v>1332</v>
      </c>
      <c r="K34" s="53"/>
      <c r="L34" s="54"/>
      <c r="M34" s="53"/>
      <c r="N34" s="55"/>
    </row>
    <row r="35" spans="2:14" ht="409.5" customHeight="1" x14ac:dyDescent="0.35">
      <c r="B35" s="50">
        <v>31</v>
      </c>
      <c r="C35" s="51" t="s">
        <v>1051</v>
      </c>
      <c r="D35" s="51" t="s">
        <v>103</v>
      </c>
      <c r="E35" s="52">
        <f t="shared" si="1"/>
        <v>10</v>
      </c>
      <c r="F35" s="53" t="s">
        <v>1333</v>
      </c>
      <c r="G35" s="53" t="s">
        <v>1297</v>
      </c>
      <c r="H35" s="53" t="s">
        <v>1334</v>
      </c>
      <c r="I35" s="53" t="s">
        <v>1304</v>
      </c>
      <c r="J35" s="53" t="s">
        <v>1335</v>
      </c>
      <c r="K35" s="53"/>
      <c r="L35" s="54"/>
      <c r="M35" s="53"/>
      <c r="N35" s="55"/>
    </row>
    <row r="36" spans="2:14" ht="409.5" customHeight="1" x14ac:dyDescent="0.35">
      <c r="B36" s="50">
        <v>32</v>
      </c>
      <c r="C36" s="51" t="s">
        <v>1051</v>
      </c>
      <c r="D36" s="51" t="s">
        <v>103</v>
      </c>
      <c r="E36" s="52">
        <f t="shared" si="1"/>
        <v>10</v>
      </c>
      <c r="F36" s="53" t="s">
        <v>1336</v>
      </c>
      <c r="G36" s="53" t="s">
        <v>1297</v>
      </c>
      <c r="H36" s="53" t="s">
        <v>1337</v>
      </c>
      <c r="I36" s="53" t="s">
        <v>1304</v>
      </c>
      <c r="J36" s="53" t="s">
        <v>1338</v>
      </c>
      <c r="K36" s="53"/>
      <c r="L36" s="54"/>
      <c r="M36" s="53"/>
      <c r="N36" s="55"/>
    </row>
    <row r="37" spans="2:14" ht="409.5" customHeight="1" x14ac:dyDescent="0.35">
      <c r="B37" s="50">
        <v>33</v>
      </c>
      <c r="C37" s="51" t="s">
        <v>1051</v>
      </c>
      <c r="D37" s="51" t="s">
        <v>103</v>
      </c>
      <c r="E37" s="52">
        <f t="shared" si="1"/>
        <v>10</v>
      </c>
      <c r="F37" s="53" t="s">
        <v>1339</v>
      </c>
      <c r="G37" s="53" t="s">
        <v>1297</v>
      </c>
      <c r="H37" s="53" t="s">
        <v>1340</v>
      </c>
      <c r="I37" s="53" t="s">
        <v>1304</v>
      </c>
      <c r="J37" s="53" t="s">
        <v>1341</v>
      </c>
      <c r="K37" s="53"/>
      <c r="L37" s="54"/>
      <c r="M37" s="53"/>
      <c r="N37" s="55"/>
    </row>
    <row r="38" spans="2:14" ht="378" customHeight="1" x14ac:dyDescent="0.35">
      <c r="B38" s="50">
        <v>34</v>
      </c>
      <c r="C38" s="51" t="s">
        <v>1051</v>
      </c>
      <c r="D38" s="51" t="s">
        <v>103</v>
      </c>
      <c r="E38" s="52">
        <f t="shared" si="1"/>
        <v>10</v>
      </c>
      <c r="F38" s="53" t="s">
        <v>1342</v>
      </c>
      <c r="G38" s="53" t="s">
        <v>1297</v>
      </c>
      <c r="H38" s="53" t="s">
        <v>1343</v>
      </c>
      <c r="I38" s="53" t="s">
        <v>1344</v>
      </c>
      <c r="J38" s="53" t="s">
        <v>1345</v>
      </c>
      <c r="K38" s="53"/>
      <c r="L38" s="54"/>
      <c r="M38" s="53"/>
      <c r="N38" s="55"/>
    </row>
    <row r="39" spans="2:14" ht="378" customHeight="1" x14ac:dyDescent="0.35">
      <c r="B39" s="50">
        <v>35</v>
      </c>
      <c r="C39" s="51" t="s">
        <v>1051</v>
      </c>
      <c r="D39" s="51" t="s">
        <v>17</v>
      </c>
      <c r="E39" s="52">
        <f t="shared" si="1"/>
        <v>10</v>
      </c>
      <c r="F39" s="53" t="s">
        <v>1346</v>
      </c>
      <c r="G39" s="53" t="s">
        <v>1297</v>
      </c>
      <c r="H39" s="53" t="s">
        <v>1343</v>
      </c>
      <c r="I39" s="53" t="s">
        <v>1347</v>
      </c>
      <c r="J39" s="53" t="s">
        <v>1348</v>
      </c>
      <c r="K39" s="53"/>
      <c r="L39" s="54"/>
      <c r="M39" s="53"/>
      <c r="N39" s="55"/>
    </row>
    <row r="40" spans="2:14" ht="267.75" customHeight="1" x14ac:dyDescent="0.35">
      <c r="B40" s="50">
        <v>36</v>
      </c>
      <c r="C40" s="51" t="s">
        <v>1051</v>
      </c>
      <c r="D40" s="51" t="s">
        <v>103</v>
      </c>
      <c r="E40" s="52">
        <f>(20+20+20)/3</f>
        <v>20</v>
      </c>
      <c r="F40" s="53" t="s">
        <v>1349</v>
      </c>
      <c r="G40" s="53" t="s">
        <v>1297</v>
      </c>
      <c r="H40" s="53" t="s">
        <v>1350</v>
      </c>
      <c r="I40" s="53" t="s">
        <v>1351</v>
      </c>
      <c r="J40" s="53" t="s">
        <v>1352</v>
      </c>
      <c r="K40" s="53"/>
      <c r="L40" s="54"/>
      <c r="M40" s="53"/>
      <c r="N40" s="55"/>
    </row>
    <row r="41" spans="2:14" ht="409.5" customHeight="1" x14ac:dyDescent="0.35">
      <c r="B41" s="50">
        <v>37</v>
      </c>
      <c r="C41" s="51" t="s">
        <v>1051</v>
      </c>
      <c r="D41" s="51" t="s">
        <v>26</v>
      </c>
      <c r="E41" s="52">
        <f>(10+10+10)/3</f>
        <v>10</v>
      </c>
      <c r="F41" s="53" t="s">
        <v>1353</v>
      </c>
      <c r="G41" s="53" t="s">
        <v>1354</v>
      </c>
      <c r="H41" s="53" t="s">
        <v>1355</v>
      </c>
      <c r="I41" s="53" t="s">
        <v>1304</v>
      </c>
      <c r="J41" s="53" t="s">
        <v>1356</v>
      </c>
      <c r="K41" s="53"/>
      <c r="L41" s="54"/>
      <c r="M41" s="53"/>
      <c r="N41" s="55"/>
    </row>
    <row r="42" spans="2:14" ht="330.75" customHeight="1" x14ac:dyDescent="0.35">
      <c r="B42" s="50">
        <v>38</v>
      </c>
      <c r="C42" s="51" t="s">
        <v>1051</v>
      </c>
      <c r="D42" s="51" t="s">
        <v>26</v>
      </c>
      <c r="E42" s="52">
        <f>(10+10+10)/3</f>
        <v>10</v>
      </c>
      <c r="F42" s="53" t="s">
        <v>1357</v>
      </c>
      <c r="G42" s="53" t="s">
        <v>1358</v>
      </c>
      <c r="H42" s="53" t="s">
        <v>1359</v>
      </c>
      <c r="I42" s="53" t="s">
        <v>1360</v>
      </c>
      <c r="J42" s="53" t="s">
        <v>1361</v>
      </c>
      <c r="K42" s="53"/>
      <c r="L42" s="54"/>
      <c r="M42" s="53"/>
      <c r="N42" s="55"/>
    </row>
    <row r="43" spans="2:14" ht="409.5" customHeight="1" x14ac:dyDescent="0.35">
      <c r="B43" s="50">
        <v>39</v>
      </c>
      <c r="C43" s="51" t="s">
        <v>1051</v>
      </c>
      <c r="D43" s="51" t="s">
        <v>17</v>
      </c>
      <c r="E43" s="52">
        <f>(10+10+10)/3</f>
        <v>10</v>
      </c>
      <c r="F43" s="79" t="s">
        <v>1362</v>
      </c>
      <c r="G43" s="53" t="s">
        <v>1363</v>
      </c>
      <c r="H43" s="53" t="s">
        <v>1364</v>
      </c>
      <c r="I43" s="53" t="s">
        <v>1365</v>
      </c>
      <c r="J43" s="53" t="s">
        <v>1366</v>
      </c>
      <c r="K43" s="53"/>
      <c r="L43" s="54"/>
      <c r="M43" s="53"/>
      <c r="N43" s="55"/>
    </row>
    <row r="44" spans="2:14" ht="409.5" customHeight="1" x14ac:dyDescent="0.35">
      <c r="B44" s="50">
        <v>40</v>
      </c>
      <c r="C44" s="51" t="s">
        <v>1051</v>
      </c>
      <c r="D44" s="51" t="s">
        <v>103</v>
      </c>
      <c r="E44" s="52">
        <f>(5+5+5)/3</f>
        <v>5</v>
      </c>
      <c r="F44" s="79" t="s">
        <v>1367</v>
      </c>
      <c r="G44" s="53" t="s">
        <v>1297</v>
      </c>
      <c r="H44" s="53" t="s">
        <v>1364</v>
      </c>
      <c r="I44" s="53" t="s">
        <v>1368</v>
      </c>
      <c r="J44" s="53" t="s">
        <v>1369</v>
      </c>
      <c r="K44" s="53"/>
      <c r="L44" s="54"/>
      <c r="M44" s="53"/>
      <c r="N44" s="55"/>
    </row>
    <row r="45" spans="2:14" ht="409.5" customHeight="1" x14ac:dyDescent="0.35">
      <c r="B45" s="50">
        <v>41</v>
      </c>
      <c r="C45" s="51" t="s">
        <v>1051</v>
      </c>
      <c r="D45" s="51" t="s">
        <v>17</v>
      </c>
      <c r="E45" s="52">
        <f t="shared" ref="E45:E54" si="2">(10+10+10)/3</f>
        <v>10</v>
      </c>
      <c r="F45" s="79" t="s">
        <v>1370</v>
      </c>
      <c r="G45" s="53" t="s">
        <v>1297</v>
      </c>
      <c r="H45" s="53" t="s">
        <v>1364</v>
      </c>
      <c r="I45" s="53" t="s">
        <v>1371</v>
      </c>
      <c r="J45" s="53" t="s">
        <v>1372</v>
      </c>
      <c r="K45" s="53"/>
      <c r="L45" s="54"/>
      <c r="M45" s="53"/>
      <c r="N45" s="55"/>
    </row>
    <row r="46" spans="2:14" ht="409.5" customHeight="1" x14ac:dyDescent="0.35">
      <c r="B46" s="50">
        <v>42</v>
      </c>
      <c r="C46" s="51" t="s">
        <v>1051</v>
      </c>
      <c r="D46" s="51" t="s">
        <v>103</v>
      </c>
      <c r="E46" s="52">
        <f t="shared" si="2"/>
        <v>10</v>
      </c>
      <c r="F46" s="79" t="s">
        <v>1373</v>
      </c>
      <c r="G46" s="53" t="s">
        <v>1374</v>
      </c>
      <c r="H46" s="53" t="s">
        <v>1364</v>
      </c>
      <c r="I46" s="53" t="s">
        <v>1375</v>
      </c>
      <c r="J46" s="53" t="s">
        <v>1376</v>
      </c>
      <c r="K46" s="53"/>
      <c r="L46" s="54"/>
      <c r="M46" s="53"/>
      <c r="N46" s="55"/>
    </row>
    <row r="47" spans="2:14" ht="409.5" customHeight="1" x14ac:dyDescent="0.35">
      <c r="B47" s="50">
        <v>43</v>
      </c>
      <c r="C47" s="51" t="s">
        <v>1051</v>
      </c>
      <c r="D47" s="51" t="s">
        <v>103</v>
      </c>
      <c r="E47" s="52">
        <f t="shared" si="2"/>
        <v>10</v>
      </c>
      <c r="F47" s="79" t="s">
        <v>1377</v>
      </c>
      <c r="G47" s="53" t="s">
        <v>1363</v>
      </c>
      <c r="H47" s="53" t="s">
        <v>1378</v>
      </c>
      <c r="I47" s="53" t="s">
        <v>1379</v>
      </c>
      <c r="J47" s="53" t="s">
        <v>1380</v>
      </c>
      <c r="K47" s="53"/>
      <c r="L47" s="54"/>
      <c r="M47" s="53"/>
      <c r="N47" s="55"/>
    </row>
    <row r="48" spans="2:14" ht="409.5" customHeight="1" x14ac:dyDescent="0.35">
      <c r="B48" s="50">
        <v>44</v>
      </c>
      <c r="C48" s="51" t="s">
        <v>1051</v>
      </c>
      <c r="D48" s="51" t="s">
        <v>103</v>
      </c>
      <c r="E48" s="52">
        <f t="shared" si="2"/>
        <v>10</v>
      </c>
      <c r="F48" s="79" t="s">
        <v>1381</v>
      </c>
      <c r="G48" s="53" t="s">
        <v>1363</v>
      </c>
      <c r="H48" s="53" t="s">
        <v>1378</v>
      </c>
      <c r="I48" s="53" t="s">
        <v>1382</v>
      </c>
      <c r="J48" s="53" t="s">
        <v>1383</v>
      </c>
      <c r="K48" s="53"/>
      <c r="L48" s="208"/>
      <c r="M48" s="53"/>
      <c r="N48" s="55"/>
    </row>
    <row r="49" spans="2:14" ht="409.5" customHeight="1" x14ac:dyDescent="0.35">
      <c r="B49" s="50">
        <v>45</v>
      </c>
      <c r="C49" s="51" t="s">
        <v>1051</v>
      </c>
      <c r="D49" s="51" t="s">
        <v>103</v>
      </c>
      <c r="E49" s="52">
        <f t="shared" si="2"/>
        <v>10</v>
      </c>
      <c r="F49" s="79" t="s">
        <v>1384</v>
      </c>
      <c r="G49" s="53" t="s">
        <v>1363</v>
      </c>
      <c r="H49" s="53" t="s">
        <v>1378</v>
      </c>
      <c r="I49" s="53" t="s">
        <v>1385</v>
      </c>
      <c r="J49" s="53" t="s">
        <v>1386</v>
      </c>
      <c r="K49" s="53"/>
      <c r="L49" s="54"/>
      <c r="M49" s="53"/>
      <c r="N49" s="55"/>
    </row>
    <row r="50" spans="2:14" ht="409.5" customHeight="1" x14ac:dyDescent="0.35">
      <c r="B50" s="50">
        <v>46</v>
      </c>
      <c r="C50" s="51" t="s">
        <v>1051</v>
      </c>
      <c r="D50" s="51" t="s">
        <v>103</v>
      </c>
      <c r="E50" s="52">
        <f t="shared" si="2"/>
        <v>10</v>
      </c>
      <c r="F50" s="79" t="s">
        <v>1387</v>
      </c>
      <c r="G50" s="53" t="s">
        <v>1363</v>
      </c>
      <c r="H50" s="53" t="s">
        <v>1364</v>
      </c>
      <c r="I50" s="53" t="s">
        <v>1388</v>
      </c>
      <c r="J50" s="53" t="s">
        <v>1389</v>
      </c>
      <c r="K50" s="53"/>
      <c r="L50" s="54"/>
      <c r="M50" s="53"/>
      <c r="N50" s="55"/>
    </row>
    <row r="51" spans="2:14" ht="409.5" customHeight="1" x14ac:dyDescent="0.35">
      <c r="B51" s="50">
        <v>47</v>
      </c>
      <c r="C51" s="51" t="s">
        <v>1051</v>
      </c>
      <c r="D51" s="51" t="s">
        <v>103</v>
      </c>
      <c r="E51" s="52">
        <f t="shared" si="2"/>
        <v>10</v>
      </c>
      <c r="F51" s="79" t="s">
        <v>1390</v>
      </c>
      <c r="G51" s="53" t="s">
        <v>1363</v>
      </c>
      <c r="H51" s="53" t="s">
        <v>1364</v>
      </c>
      <c r="I51" s="53" t="s">
        <v>1391</v>
      </c>
      <c r="J51" s="53" t="s">
        <v>1392</v>
      </c>
      <c r="K51" s="53"/>
      <c r="L51" s="54"/>
      <c r="M51" s="53"/>
      <c r="N51" s="55"/>
    </row>
    <row r="52" spans="2:14" ht="409.5" customHeight="1" x14ac:dyDescent="0.35">
      <c r="B52" s="50">
        <v>48</v>
      </c>
      <c r="C52" s="51" t="s">
        <v>1051</v>
      </c>
      <c r="D52" s="51" t="s">
        <v>103</v>
      </c>
      <c r="E52" s="52">
        <f t="shared" si="2"/>
        <v>10</v>
      </c>
      <c r="F52" s="79" t="s">
        <v>1393</v>
      </c>
      <c r="G52" s="53" t="s">
        <v>1363</v>
      </c>
      <c r="H52" s="53" t="s">
        <v>1364</v>
      </c>
      <c r="I52" s="53" t="s">
        <v>1394</v>
      </c>
      <c r="J52" s="53" t="s">
        <v>1395</v>
      </c>
      <c r="K52" s="53"/>
      <c r="L52" s="54"/>
      <c r="M52" s="53"/>
      <c r="N52" s="55"/>
    </row>
    <row r="53" spans="2:14" ht="409.5" customHeight="1" x14ac:dyDescent="0.35">
      <c r="B53" s="50">
        <v>49</v>
      </c>
      <c r="C53" s="51" t="s">
        <v>1051</v>
      </c>
      <c r="D53" s="51" t="s">
        <v>103</v>
      </c>
      <c r="E53" s="52">
        <f t="shared" si="2"/>
        <v>10</v>
      </c>
      <c r="F53" s="79" t="s">
        <v>1396</v>
      </c>
      <c r="G53" s="53" t="s">
        <v>1363</v>
      </c>
      <c r="H53" s="53" t="s">
        <v>1364</v>
      </c>
      <c r="I53" s="53" t="s">
        <v>1397</v>
      </c>
      <c r="J53" s="53" t="s">
        <v>1398</v>
      </c>
      <c r="K53" s="53"/>
      <c r="L53" s="54"/>
      <c r="M53" s="53"/>
      <c r="N53" s="55"/>
    </row>
    <row r="54" spans="2:14" ht="236.25" customHeight="1" x14ac:dyDescent="0.35">
      <c r="B54" s="50">
        <v>50</v>
      </c>
      <c r="C54" s="51" t="s">
        <v>1051</v>
      </c>
      <c r="D54" s="51" t="s">
        <v>103</v>
      </c>
      <c r="E54" s="52">
        <f t="shared" si="2"/>
        <v>10</v>
      </c>
      <c r="F54" s="79" t="s">
        <v>1399</v>
      </c>
      <c r="G54" s="53" t="s">
        <v>1400</v>
      </c>
      <c r="H54" s="53" t="s">
        <v>1401</v>
      </c>
      <c r="I54" s="53" t="s">
        <v>1402</v>
      </c>
      <c r="J54" s="53" t="s">
        <v>1403</v>
      </c>
      <c r="K54" s="53"/>
      <c r="L54" s="54"/>
      <c r="M54" s="53"/>
      <c r="N54" s="55"/>
    </row>
    <row r="55" spans="2:14" ht="409.5" customHeight="1" x14ac:dyDescent="0.35">
      <c r="B55" s="50">
        <v>51</v>
      </c>
      <c r="C55" s="51" t="s">
        <v>1051</v>
      </c>
      <c r="D55" s="51" t="s">
        <v>17</v>
      </c>
      <c r="E55" s="52">
        <f>(15+15+15)/3</f>
        <v>15</v>
      </c>
      <c r="F55" s="79" t="s">
        <v>1404</v>
      </c>
      <c r="G55" s="53" t="s">
        <v>1266</v>
      </c>
      <c r="H55" s="53" t="s">
        <v>1405</v>
      </c>
      <c r="I55" s="53" t="s">
        <v>1406</v>
      </c>
      <c r="J55" s="53" t="s">
        <v>1407</v>
      </c>
      <c r="K55" s="53"/>
      <c r="L55" s="54"/>
      <c r="M55" s="53"/>
      <c r="N55" s="55"/>
    </row>
    <row r="56" spans="2:14" ht="54" customHeight="1" thickBot="1" x14ac:dyDescent="0.4">
      <c r="B56" s="59">
        <v>52</v>
      </c>
      <c r="C56" s="60" t="s">
        <v>1051</v>
      </c>
      <c r="D56" s="60" t="s">
        <v>26</v>
      </c>
      <c r="E56" s="61">
        <f>(15+10+10)/3</f>
        <v>11.666666666666666</v>
      </c>
      <c r="F56" s="94" t="s">
        <v>57</v>
      </c>
      <c r="G56" s="62" t="s">
        <v>877</v>
      </c>
      <c r="H56" s="62"/>
      <c r="I56" s="62" t="s">
        <v>59</v>
      </c>
      <c r="J56" s="62" t="s">
        <v>60</v>
      </c>
      <c r="K56" s="62"/>
      <c r="L56" s="63"/>
      <c r="M56" s="62"/>
      <c r="N56" s="64"/>
    </row>
    <row r="57" spans="2:14" ht="32.25" customHeight="1" x14ac:dyDescent="0.45"/>
  </sheetData>
  <mergeCells count="3">
    <mergeCell ref="F3:M3"/>
    <mergeCell ref="B2:M2"/>
    <mergeCell ref="B3:C3"/>
  </mergeCells>
  <conditionalFormatting sqref="K5:K42">
    <cfRule type="cellIs" dxfId="39" priority="44" operator="equal">
      <formula>"Not Applicable"</formula>
    </cfRule>
    <cfRule type="cellIs" dxfId="38" priority="45" operator="equal">
      <formula>"Pass"</formula>
    </cfRule>
    <cfRule type="cellIs" dxfId="37" priority="46" operator="equal">
      <formula>"Not Tested"</formula>
    </cfRule>
    <cfRule type="cellIs" dxfId="36" priority="47" operator="equal">
      <formula>"Not Applicable"</formula>
    </cfRule>
    <cfRule type="cellIs" dxfId="35" priority="48" operator="equal">
      <formula>"Fail"</formula>
    </cfRule>
    <cfRule type="cellIs" dxfId="34" priority="49" operator="equal">
      <formula>"Pass"</formula>
    </cfRule>
  </conditionalFormatting>
  <conditionalFormatting sqref="K5:K56">
    <cfRule type="cellIs" dxfId="33" priority="1" operator="equal">
      <formula>"Not Tested"</formula>
    </cfRule>
  </conditionalFormatting>
  <conditionalFormatting sqref="K44:K56">
    <cfRule type="cellIs" dxfId="32" priority="2" operator="equal">
      <formula>"Not Applicable"</formula>
    </cfRule>
    <cfRule type="cellIs" dxfId="31" priority="3" operator="equal">
      <formula>"Pass"</formula>
    </cfRule>
    <cfRule type="cellIs" dxfId="30" priority="4" operator="equal">
      <formula>"Not Tested"</formula>
    </cfRule>
    <cfRule type="cellIs" dxfId="29" priority="5" operator="equal">
      <formula>"Not Applicable"</formula>
    </cfRule>
    <cfRule type="cellIs" dxfId="28" priority="6" operator="equal">
      <formula>"Fail"</formula>
    </cfRule>
    <cfRule type="cellIs" dxfId="27" priority="7" operator="equal">
      <formula>"Pass"</formula>
    </cfRule>
  </conditionalFormatting>
  <conditionalFormatting sqref="L5:L56">
    <cfRule type="cellIs" dxfId="26" priority="8" operator="equal">
      <formula>"Cancelled"</formula>
    </cfRule>
    <cfRule type="cellIs" dxfId="25" priority="9" operator="equal">
      <formula>"N/A"</formula>
    </cfRule>
    <cfRule type="cellIs" dxfId="24" priority="10" operator="equal">
      <formula>"Pass"</formula>
    </cfRule>
    <cfRule type="cellIs" dxfId="23" priority="11" operator="equal">
      <formula>"In-Progress"</formula>
    </cfRule>
    <cfRule type="cellIs" dxfId="22" priority="12" operator="equal">
      <formula>"Blocked"</formula>
    </cfRule>
    <cfRule type="cellIs" dxfId="21" priority="13" operator="equal">
      <formula>"Fail"</formula>
    </cfRule>
    <cfRule type="cellIs" dxfId="20" priority="14" operator="equal">
      <formula>"Pass"</formula>
    </cfRule>
  </conditionalFormatting>
  <dataValidations count="1">
    <dataValidation type="list" allowBlank="1" showInputMessage="1" showErrorMessage="1" sqref="L5:L56" xr:uid="{00000000-0002-0000-1C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2"/>
  <dimension ref="B1:N64"/>
  <sheetViews>
    <sheetView topLeftCell="A56" zoomScale="60" zoomScaleNormal="60" workbookViewId="0">
      <selection activeCell="G32" sqref="G32"/>
    </sheetView>
  </sheetViews>
  <sheetFormatPr defaultColWidth="8.7265625" defaultRowHeight="15.5" x14ac:dyDescent="0.45"/>
  <cols>
    <col min="2" max="2" width="10.26953125" style="2" customWidth="1"/>
    <col min="3" max="3" width="11.1796875" style="8" customWidth="1"/>
    <col min="4" max="4" width="14.54296875" style="2" customWidth="1"/>
    <col min="5" max="5" width="15.54296875" style="36" customWidth="1"/>
    <col min="6" max="6" width="86" style="2" customWidth="1"/>
    <col min="7" max="7" width="50.453125" style="2" customWidth="1"/>
    <col min="8" max="8" width="65" style="2" customWidth="1"/>
    <col min="9" max="9" width="58.453125" style="1" customWidth="1"/>
    <col min="10" max="10" width="49.1796875" style="1" customWidth="1"/>
    <col min="11" max="11" width="13.1796875" style="1" customWidth="1"/>
    <col min="12" max="12" width="19.453125" style="2" customWidth="1"/>
    <col min="13" max="13" width="18.81640625" style="2" customWidth="1"/>
    <col min="14" max="14" width="17.453125" customWidth="1"/>
  </cols>
  <sheetData>
    <row r="1" spans="2:14" ht="16.5" customHeight="1" thickBot="1" x14ac:dyDescent="0.5"/>
    <row r="2" spans="2:14" ht="29.25" customHeight="1" thickBot="1" x14ac:dyDescent="0.4">
      <c r="B2" s="226" t="s">
        <v>1408</v>
      </c>
      <c r="C2" s="227"/>
      <c r="D2" s="227"/>
      <c r="E2" s="227"/>
      <c r="F2" s="227"/>
      <c r="G2" s="227"/>
      <c r="H2" s="227"/>
      <c r="I2" s="227"/>
      <c r="J2" s="227"/>
      <c r="K2" s="227"/>
      <c r="L2" s="227"/>
      <c r="M2" s="228"/>
    </row>
    <row r="3" spans="2:14" ht="16.5" customHeight="1" thickBot="1" x14ac:dyDescent="0.4">
      <c r="B3" s="229" t="s">
        <v>70</v>
      </c>
      <c r="C3" s="224"/>
      <c r="D3" s="68"/>
      <c r="E3" s="69"/>
      <c r="F3" s="223" t="s">
        <v>1409</v>
      </c>
      <c r="G3" s="224"/>
      <c r="H3" s="224"/>
      <c r="I3" s="224"/>
      <c r="J3" s="224"/>
      <c r="K3" s="224"/>
      <c r="L3" s="224"/>
      <c r="M3" s="225"/>
    </row>
    <row r="4" spans="2:14" ht="32.25" customHeight="1" thickBot="1" x14ac:dyDescent="0.4">
      <c r="B4" s="114" t="s">
        <v>3</v>
      </c>
      <c r="C4" s="114" t="s">
        <v>4</v>
      </c>
      <c r="D4" s="114" t="s">
        <v>5</v>
      </c>
      <c r="E4" s="115" t="s">
        <v>6</v>
      </c>
      <c r="F4" s="114" t="s">
        <v>7</v>
      </c>
      <c r="G4" s="114" t="s">
        <v>8</v>
      </c>
      <c r="H4" s="114" t="s">
        <v>9</v>
      </c>
      <c r="I4" s="114" t="s">
        <v>10</v>
      </c>
      <c r="J4" s="114" t="s">
        <v>11</v>
      </c>
      <c r="K4" s="114" t="s">
        <v>12</v>
      </c>
      <c r="L4" s="114" t="s">
        <v>13</v>
      </c>
      <c r="M4" s="114" t="s">
        <v>14</v>
      </c>
      <c r="N4" s="114" t="s">
        <v>15</v>
      </c>
    </row>
    <row r="5" spans="2:14" ht="126" customHeight="1" x14ac:dyDescent="0.35">
      <c r="B5" s="116">
        <v>1</v>
      </c>
      <c r="C5" s="117" t="s">
        <v>383</v>
      </c>
      <c r="D5" s="117" t="s">
        <v>17</v>
      </c>
      <c r="E5" s="118">
        <v>3</v>
      </c>
      <c r="F5" s="119" t="s">
        <v>1410</v>
      </c>
      <c r="G5" s="119" t="s">
        <v>1411</v>
      </c>
      <c r="H5" s="79"/>
      <c r="I5" s="119" t="s">
        <v>1412</v>
      </c>
      <c r="J5" s="120" t="s">
        <v>1413</v>
      </c>
      <c r="K5" s="120"/>
      <c r="L5" s="121"/>
      <c r="M5" s="120"/>
      <c r="N5" s="122"/>
    </row>
    <row r="6" spans="2:14" ht="110.25" customHeight="1" x14ac:dyDescent="0.35">
      <c r="B6" s="50">
        <v>2</v>
      </c>
      <c r="C6" s="51" t="s">
        <v>383</v>
      </c>
      <c r="D6" s="51" t="s">
        <v>103</v>
      </c>
      <c r="E6" s="52">
        <v>3</v>
      </c>
      <c r="F6" s="79" t="s">
        <v>1414</v>
      </c>
      <c r="G6" s="79" t="s">
        <v>1415</v>
      </c>
      <c r="H6" s="79"/>
      <c r="I6" s="79" t="s">
        <v>1412</v>
      </c>
      <c r="J6" s="53" t="s">
        <v>1416</v>
      </c>
      <c r="K6" s="53"/>
      <c r="L6" s="54"/>
      <c r="M6" s="53"/>
      <c r="N6" s="55"/>
    </row>
    <row r="7" spans="2:14" ht="252" customHeight="1" x14ac:dyDescent="0.35">
      <c r="B7" s="50">
        <v>3</v>
      </c>
      <c r="C7" s="51" t="s">
        <v>383</v>
      </c>
      <c r="D7" s="51" t="s">
        <v>26</v>
      </c>
      <c r="E7" s="52">
        <v>3</v>
      </c>
      <c r="F7" s="79" t="s">
        <v>1417</v>
      </c>
      <c r="G7" s="79" t="s">
        <v>1418</v>
      </c>
      <c r="H7" s="79" t="s">
        <v>1419</v>
      </c>
      <c r="I7" s="79" t="s">
        <v>1420</v>
      </c>
      <c r="J7" s="53" t="s">
        <v>1421</v>
      </c>
      <c r="K7" s="53"/>
      <c r="L7" s="54"/>
      <c r="M7" s="53"/>
      <c r="N7" s="55"/>
    </row>
    <row r="8" spans="2:14" ht="157.5" customHeight="1" x14ac:dyDescent="0.35">
      <c r="B8" s="50">
        <v>4</v>
      </c>
      <c r="C8" s="51" t="s">
        <v>383</v>
      </c>
      <c r="D8" s="51" t="s">
        <v>103</v>
      </c>
      <c r="E8" s="52">
        <v>3</v>
      </c>
      <c r="F8" s="53" t="s">
        <v>1422</v>
      </c>
      <c r="G8" s="53" t="s">
        <v>1423</v>
      </c>
      <c r="H8" s="79" t="s">
        <v>1424</v>
      </c>
      <c r="I8" s="53" t="s">
        <v>1425</v>
      </c>
      <c r="J8" s="53" t="s">
        <v>1426</v>
      </c>
      <c r="K8" s="53"/>
      <c r="L8" s="54"/>
      <c r="M8" s="53"/>
      <c r="N8" s="55"/>
    </row>
    <row r="9" spans="2:14" ht="409.5" customHeight="1" x14ac:dyDescent="0.35">
      <c r="B9" s="50">
        <v>5</v>
      </c>
      <c r="C9" s="51" t="s">
        <v>383</v>
      </c>
      <c r="D9" s="51" t="s">
        <v>103</v>
      </c>
      <c r="E9" s="52">
        <v>3</v>
      </c>
      <c r="F9" s="53" t="s">
        <v>1427</v>
      </c>
      <c r="G9" s="53" t="s">
        <v>1428</v>
      </c>
      <c r="H9" s="79" t="s">
        <v>1429</v>
      </c>
      <c r="I9" s="53" t="s">
        <v>1430</v>
      </c>
      <c r="J9" s="53" t="s">
        <v>1431</v>
      </c>
      <c r="K9" s="53"/>
      <c r="L9" s="54"/>
      <c r="M9" s="53"/>
      <c r="N9" s="55"/>
    </row>
    <row r="10" spans="2:14" ht="330.75" customHeight="1" x14ac:dyDescent="0.35">
      <c r="B10" s="50">
        <v>6</v>
      </c>
      <c r="C10" s="51" t="s">
        <v>383</v>
      </c>
      <c r="D10" s="51" t="s">
        <v>17</v>
      </c>
      <c r="E10" s="52">
        <v>3</v>
      </c>
      <c r="F10" s="53" t="s">
        <v>1432</v>
      </c>
      <c r="G10" s="53" t="s">
        <v>1423</v>
      </c>
      <c r="H10" s="79" t="s">
        <v>1433</v>
      </c>
      <c r="I10" s="53" t="s">
        <v>1434</v>
      </c>
      <c r="J10" s="53" t="s">
        <v>1435</v>
      </c>
      <c r="K10" s="53"/>
      <c r="L10" s="54"/>
      <c r="M10" s="53"/>
      <c r="N10" s="55"/>
    </row>
    <row r="11" spans="2:14" ht="409.5" customHeight="1" x14ac:dyDescent="0.35">
      <c r="B11" s="50">
        <v>7</v>
      </c>
      <c r="C11" s="51" t="s">
        <v>383</v>
      </c>
      <c r="D11" s="51" t="s">
        <v>17</v>
      </c>
      <c r="E11" s="52">
        <v>3</v>
      </c>
      <c r="F11" s="53" t="s">
        <v>1436</v>
      </c>
      <c r="G11" s="53" t="s">
        <v>1423</v>
      </c>
      <c r="H11" s="79" t="s">
        <v>1437</v>
      </c>
      <c r="I11" s="53" t="s">
        <v>1438</v>
      </c>
      <c r="J11" s="53" t="s">
        <v>1439</v>
      </c>
      <c r="K11" s="53"/>
      <c r="L11" s="54"/>
      <c r="M11" s="53"/>
      <c r="N11" s="55"/>
    </row>
    <row r="12" spans="2:14" ht="409.5" customHeight="1" x14ac:dyDescent="0.35">
      <c r="B12" s="50">
        <v>8</v>
      </c>
      <c r="C12" s="51" t="s">
        <v>383</v>
      </c>
      <c r="D12" s="51" t="s">
        <v>17</v>
      </c>
      <c r="E12" s="52">
        <v>3</v>
      </c>
      <c r="F12" s="53" t="s">
        <v>1440</v>
      </c>
      <c r="G12" s="53" t="s">
        <v>1423</v>
      </c>
      <c r="H12" s="79" t="s">
        <v>1441</v>
      </c>
      <c r="I12" s="53" t="s">
        <v>1442</v>
      </c>
      <c r="J12" s="53" t="s">
        <v>1443</v>
      </c>
      <c r="K12" s="53"/>
      <c r="L12" s="54"/>
      <c r="M12" s="53"/>
      <c r="N12" s="55"/>
    </row>
    <row r="13" spans="2:14" ht="409.5" customHeight="1" x14ac:dyDescent="0.35">
      <c r="B13" s="50">
        <v>9</v>
      </c>
      <c r="C13" s="51" t="s">
        <v>383</v>
      </c>
      <c r="D13" s="51" t="s">
        <v>103</v>
      </c>
      <c r="E13" s="52">
        <v>3</v>
      </c>
      <c r="F13" s="53" t="s">
        <v>1444</v>
      </c>
      <c r="G13" s="53" t="s">
        <v>1423</v>
      </c>
      <c r="H13" s="79" t="s">
        <v>1437</v>
      </c>
      <c r="I13" s="53" t="s">
        <v>1445</v>
      </c>
      <c r="J13" s="53" t="s">
        <v>1446</v>
      </c>
      <c r="K13" s="53"/>
      <c r="L13" s="54"/>
      <c r="M13" s="53"/>
      <c r="N13" s="55"/>
    </row>
    <row r="14" spans="2:14" ht="409.5" customHeight="1" x14ac:dyDescent="0.35">
      <c r="B14" s="50">
        <v>10</v>
      </c>
      <c r="C14" s="51" t="s">
        <v>383</v>
      </c>
      <c r="D14" s="51" t="s">
        <v>103</v>
      </c>
      <c r="E14" s="52">
        <v>3</v>
      </c>
      <c r="F14" s="53" t="s">
        <v>1447</v>
      </c>
      <c r="G14" s="53" t="s">
        <v>1423</v>
      </c>
      <c r="H14" s="79" t="s">
        <v>1437</v>
      </c>
      <c r="I14" s="53" t="s">
        <v>1448</v>
      </c>
      <c r="J14" s="53" t="s">
        <v>1449</v>
      </c>
      <c r="K14" s="53"/>
      <c r="L14" s="54"/>
      <c r="M14" s="53"/>
      <c r="N14" s="55"/>
    </row>
    <row r="15" spans="2:14" ht="409.5" customHeight="1" x14ac:dyDescent="0.35">
      <c r="B15" s="50">
        <v>11</v>
      </c>
      <c r="C15" s="51" t="s">
        <v>383</v>
      </c>
      <c r="D15" s="51" t="s">
        <v>103</v>
      </c>
      <c r="E15" s="52">
        <f>(5+5+5)/3</f>
        <v>5</v>
      </c>
      <c r="F15" s="79" t="s">
        <v>1450</v>
      </c>
      <c r="G15" s="53" t="s">
        <v>1423</v>
      </c>
      <c r="H15" s="79" t="s">
        <v>1437</v>
      </c>
      <c r="I15" s="53" t="s">
        <v>1451</v>
      </c>
      <c r="J15" s="53" t="s">
        <v>1452</v>
      </c>
      <c r="K15" s="53"/>
      <c r="L15" s="54"/>
      <c r="M15" s="53"/>
      <c r="N15" s="55"/>
    </row>
    <row r="16" spans="2:14" ht="409.5" customHeight="1" x14ac:dyDescent="0.35">
      <c r="B16" s="50">
        <v>12</v>
      </c>
      <c r="C16" s="51" t="s">
        <v>383</v>
      </c>
      <c r="D16" s="51" t="s">
        <v>17</v>
      </c>
      <c r="E16" s="52">
        <f>(5+5+5)/3</f>
        <v>5</v>
      </c>
      <c r="F16" s="79" t="s">
        <v>1453</v>
      </c>
      <c r="G16" s="53" t="s">
        <v>1423</v>
      </c>
      <c r="H16" s="79" t="s">
        <v>1437</v>
      </c>
      <c r="I16" s="53" t="s">
        <v>1454</v>
      </c>
      <c r="J16" s="53" t="s">
        <v>1455</v>
      </c>
      <c r="K16" s="53"/>
      <c r="L16" s="54"/>
      <c r="M16" s="53"/>
      <c r="N16" s="55"/>
    </row>
    <row r="17" spans="2:14" ht="409.5" customHeight="1" x14ac:dyDescent="0.35">
      <c r="B17" s="50">
        <v>13</v>
      </c>
      <c r="C17" s="51" t="s">
        <v>383</v>
      </c>
      <c r="D17" s="51" t="s">
        <v>26</v>
      </c>
      <c r="E17" s="52">
        <v>7</v>
      </c>
      <c r="F17" s="79" t="s">
        <v>1456</v>
      </c>
      <c r="G17" s="53" t="s">
        <v>1423</v>
      </c>
      <c r="H17" s="79" t="s">
        <v>1437</v>
      </c>
      <c r="I17" s="53" t="s">
        <v>1457</v>
      </c>
      <c r="J17" s="53" t="s">
        <v>1458</v>
      </c>
      <c r="K17" s="53"/>
      <c r="L17" s="54"/>
      <c r="M17" s="53"/>
      <c r="N17" s="55"/>
    </row>
    <row r="18" spans="2:14" ht="409.5" customHeight="1" x14ac:dyDescent="0.35">
      <c r="B18" s="50">
        <v>14</v>
      </c>
      <c r="C18" s="51" t="s">
        <v>383</v>
      </c>
      <c r="D18" s="51" t="s">
        <v>103</v>
      </c>
      <c r="E18" s="52">
        <v>7</v>
      </c>
      <c r="F18" s="79" t="s">
        <v>1459</v>
      </c>
      <c r="G18" s="53" t="s">
        <v>1460</v>
      </c>
      <c r="H18" s="79" t="s">
        <v>1461</v>
      </c>
      <c r="I18" s="53" t="s">
        <v>1462</v>
      </c>
      <c r="J18" s="53" t="s">
        <v>1463</v>
      </c>
      <c r="K18" s="53"/>
      <c r="L18" s="54"/>
      <c r="M18" s="53"/>
      <c r="N18" s="55"/>
    </row>
    <row r="19" spans="2:14" ht="141.75" customHeight="1" x14ac:dyDescent="0.35">
      <c r="B19" s="50">
        <v>15</v>
      </c>
      <c r="C19" s="51" t="s">
        <v>383</v>
      </c>
      <c r="D19" s="51" t="s">
        <v>17</v>
      </c>
      <c r="E19" s="52">
        <v>8</v>
      </c>
      <c r="F19" s="79" t="s">
        <v>1464</v>
      </c>
      <c r="G19" s="53" t="s">
        <v>1465</v>
      </c>
      <c r="H19" s="79" t="s">
        <v>1466</v>
      </c>
      <c r="I19" s="53" t="s">
        <v>1467</v>
      </c>
      <c r="J19" s="53" t="s">
        <v>1468</v>
      </c>
      <c r="K19" s="53"/>
      <c r="L19" s="54"/>
      <c r="M19" s="53"/>
      <c r="N19" s="55"/>
    </row>
    <row r="20" spans="2:14" ht="283.5" customHeight="1" x14ac:dyDescent="0.35">
      <c r="B20" s="50">
        <v>16</v>
      </c>
      <c r="C20" s="51" t="s">
        <v>383</v>
      </c>
      <c r="D20" s="51" t="s">
        <v>103</v>
      </c>
      <c r="E20" s="52">
        <f>(10+10+5)/3</f>
        <v>8.3333333333333339</v>
      </c>
      <c r="F20" s="79" t="s">
        <v>1469</v>
      </c>
      <c r="G20" s="53" t="s">
        <v>1465</v>
      </c>
      <c r="H20" s="79" t="s">
        <v>1470</v>
      </c>
      <c r="I20" s="53" t="s">
        <v>1471</v>
      </c>
      <c r="J20" s="53" t="s">
        <v>1472</v>
      </c>
      <c r="K20" s="53"/>
      <c r="L20" s="54"/>
      <c r="M20" s="53"/>
      <c r="N20" s="55"/>
    </row>
    <row r="21" spans="2:14" ht="252" customHeight="1" x14ac:dyDescent="0.35">
      <c r="B21" s="50">
        <v>17</v>
      </c>
      <c r="C21" s="51" t="s">
        <v>383</v>
      </c>
      <c r="D21" s="51" t="s">
        <v>103</v>
      </c>
      <c r="E21" s="52">
        <f>(10+10+5)/3</f>
        <v>8.3333333333333339</v>
      </c>
      <c r="F21" s="79" t="s">
        <v>1473</v>
      </c>
      <c r="G21" s="53" t="s">
        <v>1465</v>
      </c>
      <c r="H21" s="79" t="s">
        <v>1474</v>
      </c>
      <c r="I21" s="53" t="s">
        <v>1475</v>
      </c>
      <c r="J21" s="53" t="s">
        <v>1476</v>
      </c>
      <c r="K21" s="53"/>
      <c r="L21" s="54"/>
      <c r="M21" s="53"/>
      <c r="N21" s="55"/>
    </row>
    <row r="22" spans="2:14" ht="204.75" customHeight="1" x14ac:dyDescent="0.35">
      <c r="B22" s="50">
        <v>18</v>
      </c>
      <c r="C22" s="51" t="s">
        <v>383</v>
      </c>
      <c r="D22" s="51" t="s">
        <v>17</v>
      </c>
      <c r="E22" s="52">
        <f>(15+15+15)/3</f>
        <v>15</v>
      </c>
      <c r="F22" s="79" t="s">
        <v>1477</v>
      </c>
      <c r="G22" s="53" t="s">
        <v>1465</v>
      </c>
      <c r="H22" s="79" t="s">
        <v>1478</v>
      </c>
      <c r="I22" s="53" t="s">
        <v>1479</v>
      </c>
      <c r="J22" s="53" t="s">
        <v>1480</v>
      </c>
      <c r="K22" s="53"/>
      <c r="L22" s="54"/>
      <c r="M22" s="53"/>
      <c r="N22" s="55"/>
    </row>
    <row r="23" spans="2:14" ht="236.25" customHeight="1" x14ac:dyDescent="0.35">
      <c r="B23" s="50">
        <v>19</v>
      </c>
      <c r="C23" s="51" t="s">
        <v>383</v>
      </c>
      <c r="D23" s="51" t="s">
        <v>103</v>
      </c>
      <c r="E23" s="52">
        <f>(10+10+5)/3</f>
        <v>8.3333333333333339</v>
      </c>
      <c r="F23" s="79" t="s">
        <v>1481</v>
      </c>
      <c r="G23" s="53" t="s">
        <v>1423</v>
      </c>
      <c r="H23" s="79" t="s">
        <v>1470</v>
      </c>
      <c r="I23" s="53" t="s">
        <v>1482</v>
      </c>
      <c r="J23" s="53" t="s">
        <v>1483</v>
      </c>
      <c r="K23" s="53"/>
      <c r="L23" s="54"/>
      <c r="M23" s="53"/>
      <c r="N23" s="55"/>
    </row>
    <row r="24" spans="2:14" ht="409.6" customHeight="1" x14ac:dyDescent="0.35">
      <c r="B24" s="50">
        <v>20</v>
      </c>
      <c r="C24" s="51" t="s">
        <v>383</v>
      </c>
      <c r="D24" s="51" t="s">
        <v>17</v>
      </c>
      <c r="E24" s="52">
        <f>(15+15+15)/3</f>
        <v>15</v>
      </c>
      <c r="F24" s="79" t="s">
        <v>1623</v>
      </c>
      <c r="G24" s="53" t="s">
        <v>1622</v>
      </c>
      <c r="H24" s="79" t="s">
        <v>1484</v>
      </c>
      <c r="I24" s="53" t="s">
        <v>1625</v>
      </c>
      <c r="J24" s="53" t="s">
        <v>1624</v>
      </c>
      <c r="K24" s="53"/>
      <c r="L24" s="54"/>
      <c r="M24" s="53"/>
      <c r="N24" s="55"/>
    </row>
    <row r="25" spans="2:14" ht="409.5" customHeight="1" x14ac:dyDescent="0.35">
      <c r="B25" s="50">
        <v>21</v>
      </c>
      <c r="C25" s="51" t="s">
        <v>383</v>
      </c>
      <c r="D25" s="51" t="s">
        <v>103</v>
      </c>
      <c r="E25" s="52">
        <v>7</v>
      </c>
      <c r="F25" s="53" t="s">
        <v>1486</v>
      </c>
      <c r="G25" s="53" t="s">
        <v>1423</v>
      </c>
      <c r="H25" s="79" t="s">
        <v>1487</v>
      </c>
      <c r="I25" s="53" t="s">
        <v>1488</v>
      </c>
      <c r="J25" s="53" t="s">
        <v>1489</v>
      </c>
      <c r="K25" s="53"/>
      <c r="L25" s="54"/>
      <c r="M25" s="53"/>
      <c r="N25" s="55"/>
    </row>
    <row r="26" spans="2:14" ht="409.5" customHeight="1" x14ac:dyDescent="0.35">
      <c r="B26" s="50">
        <v>22</v>
      </c>
      <c r="C26" s="51" t="s">
        <v>383</v>
      </c>
      <c r="D26" s="51" t="s">
        <v>17</v>
      </c>
      <c r="E26" s="52">
        <v>7</v>
      </c>
      <c r="F26" s="79" t="s">
        <v>1626</v>
      </c>
      <c r="G26" s="53" t="s">
        <v>1423</v>
      </c>
      <c r="H26" s="79" t="s">
        <v>1484</v>
      </c>
      <c r="I26" s="53" t="s">
        <v>1628</v>
      </c>
      <c r="J26" s="53" t="s">
        <v>1630</v>
      </c>
      <c r="K26" s="53"/>
      <c r="L26" s="54"/>
      <c r="M26" s="53"/>
      <c r="N26" s="55"/>
    </row>
    <row r="27" spans="2:14" ht="378" customHeight="1" x14ac:dyDescent="0.35">
      <c r="B27" s="50">
        <v>23</v>
      </c>
      <c r="C27" s="51" t="s">
        <v>383</v>
      </c>
      <c r="D27" s="51" t="s">
        <v>103</v>
      </c>
      <c r="E27" s="52">
        <v>7</v>
      </c>
      <c r="F27" s="53" t="s">
        <v>1490</v>
      </c>
      <c r="G27" s="53" t="s">
        <v>1491</v>
      </c>
      <c r="H27" s="79"/>
      <c r="I27" s="53" t="s">
        <v>1492</v>
      </c>
      <c r="J27" s="53" t="s">
        <v>1493</v>
      </c>
      <c r="K27" s="53"/>
      <c r="L27" s="54"/>
      <c r="M27" s="53"/>
      <c r="N27" s="55"/>
    </row>
    <row r="28" spans="2:14" ht="393.75" customHeight="1" x14ac:dyDescent="0.35">
      <c r="B28" s="50">
        <v>24</v>
      </c>
      <c r="C28" s="51" t="s">
        <v>383</v>
      </c>
      <c r="D28" s="51" t="s">
        <v>17</v>
      </c>
      <c r="E28" s="52">
        <v>7</v>
      </c>
      <c r="F28" s="79" t="s">
        <v>1627</v>
      </c>
      <c r="G28" s="53" t="s">
        <v>1485</v>
      </c>
      <c r="H28" s="79"/>
      <c r="I28" s="53" t="s">
        <v>1629</v>
      </c>
      <c r="J28" s="53" t="s">
        <v>1631</v>
      </c>
      <c r="K28" s="53"/>
      <c r="L28" s="54"/>
      <c r="M28" s="53"/>
      <c r="N28" s="55"/>
    </row>
    <row r="29" spans="2:14" ht="409.5" customHeight="1" x14ac:dyDescent="0.35">
      <c r="B29" s="50">
        <v>25</v>
      </c>
      <c r="C29" s="51" t="s">
        <v>383</v>
      </c>
      <c r="D29" s="51" t="s">
        <v>103</v>
      </c>
      <c r="E29" s="52">
        <v>7</v>
      </c>
      <c r="F29" s="53" t="s">
        <v>1494</v>
      </c>
      <c r="G29" s="53" t="s">
        <v>1423</v>
      </c>
      <c r="H29" s="79" t="s">
        <v>1495</v>
      </c>
      <c r="I29" s="53" t="s">
        <v>1496</v>
      </c>
      <c r="J29" s="53" t="s">
        <v>1497</v>
      </c>
      <c r="K29" s="53"/>
      <c r="L29" s="54"/>
      <c r="M29" s="53"/>
      <c r="N29" s="55"/>
    </row>
    <row r="30" spans="2:14" ht="409.5" customHeight="1" x14ac:dyDescent="0.35">
      <c r="B30" s="50">
        <v>26</v>
      </c>
      <c r="C30" s="51" t="s">
        <v>383</v>
      </c>
      <c r="D30" s="51" t="s">
        <v>17</v>
      </c>
      <c r="E30" s="52">
        <v>7</v>
      </c>
      <c r="F30" s="53" t="s">
        <v>1498</v>
      </c>
      <c r="G30" s="53" t="s">
        <v>1499</v>
      </c>
      <c r="H30" s="79" t="s">
        <v>1500</v>
      </c>
      <c r="I30" s="53" t="s">
        <v>1501</v>
      </c>
      <c r="J30" s="53" t="s">
        <v>1502</v>
      </c>
      <c r="K30" s="53"/>
      <c r="L30" s="54"/>
      <c r="M30" s="53"/>
      <c r="N30" s="55"/>
    </row>
    <row r="31" spans="2:14" ht="378" customHeight="1" x14ac:dyDescent="0.35">
      <c r="B31" s="50">
        <v>27</v>
      </c>
      <c r="C31" s="51" t="s">
        <v>383</v>
      </c>
      <c r="D31" s="51" t="s">
        <v>103</v>
      </c>
      <c r="E31" s="52">
        <v>7</v>
      </c>
      <c r="F31" s="53" t="s">
        <v>1503</v>
      </c>
      <c r="G31" s="53" t="s">
        <v>1504</v>
      </c>
      <c r="H31" s="79" t="s">
        <v>1505</v>
      </c>
      <c r="I31" s="53" t="s">
        <v>1506</v>
      </c>
      <c r="J31" s="53" t="s">
        <v>1507</v>
      </c>
      <c r="K31" s="53"/>
      <c r="L31" s="54"/>
      <c r="M31" s="53"/>
      <c r="N31" s="55"/>
    </row>
    <row r="32" spans="2:14" ht="393.75" customHeight="1" x14ac:dyDescent="0.35">
      <c r="B32" s="50">
        <v>28</v>
      </c>
      <c r="C32" s="51" t="s">
        <v>383</v>
      </c>
      <c r="D32" s="51" t="s">
        <v>103</v>
      </c>
      <c r="E32" s="52">
        <v>7</v>
      </c>
      <c r="F32" s="53" t="s">
        <v>1632</v>
      </c>
      <c r="G32" s="53" t="s">
        <v>1504</v>
      </c>
      <c r="H32" s="79" t="s">
        <v>1508</v>
      </c>
      <c r="I32" s="53" t="s">
        <v>1509</v>
      </c>
      <c r="J32" s="53" t="s">
        <v>1510</v>
      </c>
      <c r="K32" s="53"/>
      <c r="L32" s="54"/>
      <c r="M32" s="53"/>
      <c r="N32" s="55"/>
    </row>
    <row r="33" spans="2:14" ht="409.5" customHeight="1" x14ac:dyDescent="0.35">
      <c r="B33" s="50">
        <v>29</v>
      </c>
      <c r="C33" s="51" t="s">
        <v>383</v>
      </c>
      <c r="D33" s="51" t="s">
        <v>103</v>
      </c>
      <c r="E33" s="52">
        <v>7</v>
      </c>
      <c r="F33" s="53" t="s">
        <v>1511</v>
      </c>
      <c r="G33" s="53" t="s">
        <v>1504</v>
      </c>
      <c r="H33" s="79" t="s">
        <v>1512</v>
      </c>
      <c r="I33" s="53" t="s">
        <v>1513</v>
      </c>
      <c r="J33" s="53" t="s">
        <v>1514</v>
      </c>
      <c r="K33" s="53"/>
      <c r="L33" s="54"/>
      <c r="M33" s="53"/>
      <c r="N33" s="55"/>
    </row>
    <row r="34" spans="2:14" ht="409.5" customHeight="1" x14ac:dyDescent="0.35">
      <c r="B34" s="50">
        <v>30</v>
      </c>
      <c r="C34" s="51" t="s">
        <v>383</v>
      </c>
      <c r="D34" s="51" t="s">
        <v>26</v>
      </c>
      <c r="E34" s="52">
        <v>7</v>
      </c>
      <c r="F34" s="53" t="s">
        <v>1515</v>
      </c>
      <c r="G34" s="53" t="s">
        <v>1504</v>
      </c>
      <c r="H34" s="79" t="s">
        <v>1516</v>
      </c>
      <c r="I34" s="53" t="s">
        <v>1517</v>
      </c>
      <c r="J34" s="53" t="s">
        <v>1518</v>
      </c>
      <c r="K34" s="53"/>
      <c r="L34" s="54"/>
      <c r="M34" s="53"/>
      <c r="N34" s="55"/>
    </row>
    <row r="35" spans="2:14" ht="378" customHeight="1" x14ac:dyDescent="0.35">
      <c r="B35" s="50">
        <v>31</v>
      </c>
      <c r="C35" s="51" t="s">
        <v>383</v>
      </c>
      <c r="D35" s="51" t="s">
        <v>17</v>
      </c>
      <c r="E35" s="52">
        <v>7</v>
      </c>
      <c r="F35" s="53" t="s">
        <v>1519</v>
      </c>
      <c r="G35" s="53" t="s">
        <v>1504</v>
      </c>
      <c r="H35" s="79" t="s">
        <v>1520</v>
      </c>
      <c r="I35" s="53" t="s">
        <v>1521</v>
      </c>
      <c r="J35" s="53" t="s">
        <v>1522</v>
      </c>
      <c r="K35" s="53"/>
      <c r="L35" s="54"/>
      <c r="M35" s="53"/>
      <c r="N35" s="55"/>
    </row>
    <row r="36" spans="2:14" ht="409.5" customHeight="1" x14ac:dyDescent="0.35">
      <c r="B36" s="50">
        <v>32</v>
      </c>
      <c r="C36" s="51" t="s">
        <v>383</v>
      </c>
      <c r="D36" s="51" t="s">
        <v>17</v>
      </c>
      <c r="E36" s="52">
        <v>7</v>
      </c>
      <c r="F36" s="79" t="s">
        <v>1523</v>
      </c>
      <c r="G36" s="53" t="s">
        <v>1504</v>
      </c>
      <c r="H36" s="79" t="s">
        <v>1524</v>
      </c>
      <c r="I36" s="53" t="s">
        <v>1525</v>
      </c>
      <c r="J36" s="53" t="s">
        <v>1526</v>
      </c>
      <c r="K36" s="53"/>
      <c r="L36" s="54"/>
      <c r="M36" s="53"/>
      <c r="N36" s="55"/>
    </row>
    <row r="37" spans="2:14" ht="157.5" customHeight="1" x14ac:dyDescent="0.35">
      <c r="B37" s="50">
        <v>33</v>
      </c>
      <c r="C37" s="51" t="s">
        <v>383</v>
      </c>
      <c r="D37" s="51" t="s">
        <v>17</v>
      </c>
      <c r="E37" s="52">
        <v>7</v>
      </c>
      <c r="F37" s="79" t="s">
        <v>1527</v>
      </c>
      <c r="G37" s="53" t="s">
        <v>1504</v>
      </c>
      <c r="H37" s="79" t="s">
        <v>1528</v>
      </c>
      <c r="I37" s="53" t="s">
        <v>1529</v>
      </c>
      <c r="J37" s="53" t="s">
        <v>1530</v>
      </c>
      <c r="K37" s="53"/>
      <c r="L37" s="54"/>
      <c r="M37" s="53"/>
      <c r="N37" s="55"/>
    </row>
    <row r="38" spans="2:14" ht="189" customHeight="1" x14ac:dyDescent="0.35">
      <c r="B38" s="50">
        <v>34</v>
      </c>
      <c r="C38" s="51" t="s">
        <v>383</v>
      </c>
      <c r="D38" s="51" t="s">
        <v>103</v>
      </c>
      <c r="E38" s="52">
        <v>7</v>
      </c>
      <c r="F38" s="79" t="s">
        <v>1531</v>
      </c>
      <c r="G38" s="53" t="s">
        <v>1423</v>
      </c>
      <c r="H38" s="79" t="s">
        <v>1532</v>
      </c>
      <c r="I38" s="53" t="s">
        <v>1533</v>
      </c>
      <c r="J38" s="53" t="s">
        <v>1534</v>
      </c>
      <c r="K38" s="53"/>
      <c r="L38" s="54"/>
      <c r="M38" s="53"/>
      <c r="N38" s="55"/>
    </row>
    <row r="39" spans="2:14" ht="378" customHeight="1" x14ac:dyDescent="0.35">
      <c r="B39" s="50">
        <v>35</v>
      </c>
      <c r="C39" s="51" t="s">
        <v>383</v>
      </c>
      <c r="D39" s="51" t="s">
        <v>103</v>
      </c>
      <c r="E39" s="52">
        <v>7</v>
      </c>
      <c r="F39" s="79" t="s">
        <v>1535</v>
      </c>
      <c r="G39" s="53" t="s">
        <v>1536</v>
      </c>
      <c r="H39" s="79" t="s">
        <v>1537</v>
      </c>
      <c r="I39" s="53" t="s">
        <v>1538</v>
      </c>
      <c r="J39" s="53" t="s">
        <v>1539</v>
      </c>
      <c r="K39" s="53"/>
      <c r="L39" s="54"/>
      <c r="M39" s="53"/>
      <c r="N39" s="55"/>
    </row>
    <row r="40" spans="2:14" ht="267.75" customHeight="1" x14ac:dyDescent="0.35">
      <c r="B40" s="50">
        <v>36</v>
      </c>
      <c r="C40" s="51" t="s">
        <v>383</v>
      </c>
      <c r="D40" s="51" t="s">
        <v>103</v>
      </c>
      <c r="E40" s="52">
        <v>7</v>
      </c>
      <c r="F40" s="79" t="s">
        <v>1540</v>
      </c>
      <c r="G40" s="53" t="s">
        <v>1536</v>
      </c>
      <c r="H40" s="79" t="s">
        <v>1541</v>
      </c>
      <c r="I40" s="53" t="s">
        <v>1542</v>
      </c>
      <c r="J40" s="53" t="s">
        <v>1543</v>
      </c>
      <c r="K40" s="53"/>
      <c r="L40" s="54"/>
      <c r="M40" s="53"/>
      <c r="N40" s="55"/>
    </row>
    <row r="41" spans="2:14" ht="267.75" customHeight="1" x14ac:dyDescent="0.35">
      <c r="B41" s="50">
        <v>37</v>
      </c>
      <c r="C41" s="51" t="s">
        <v>383</v>
      </c>
      <c r="D41" s="51" t="s">
        <v>103</v>
      </c>
      <c r="E41" s="52">
        <v>7</v>
      </c>
      <c r="F41" s="79" t="s">
        <v>1544</v>
      </c>
      <c r="G41" s="53" t="s">
        <v>1536</v>
      </c>
      <c r="H41" s="79" t="s">
        <v>1541</v>
      </c>
      <c r="I41" s="53" t="s">
        <v>1545</v>
      </c>
      <c r="J41" s="53" t="s">
        <v>1546</v>
      </c>
      <c r="K41" s="53"/>
      <c r="L41" s="86"/>
      <c r="M41" s="53"/>
      <c r="N41" s="55"/>
    </row>
    <row r="42" spans="2:14" ht="267.75" customHeight="1" x14ac:dyDescent="0.35">
      <c r="B42" s="50">
        <v>38</v>
      </c>
      <c r="C42" s="51" t="s">
        <v>383</v>
      </c>
      <c r="D42" s="51" t="s">
        <v>103</v>
      </c>
      <c r="E42" s="52">
        <v>7</v>
      </c>
      <c r="F42" s="79" t="s">
        <v>1547</v>
      </c>
      <c r="G42" s="53" t="s">
        <v>1548</v>
      </c>
      <c r="H42" s="79" t="s">
        <v>1549</v>
      </c>
      <c r="I42" s="53" t="s">
        <v>1550</v>
      </c>
      <c r="J42" s="53" t="s">
        <v>1551</v>
      </c>
      <c r="K42" s="53"/>
      <c r="L42" s="54"/>
      <c r="M42" s="53"/>
      <c r="N42" s="55"/>
    </row>
    <row r="43" spans="2:14" ht="267.75" customHeight="1" x14ac:dyDescent="0.35">
      <c r="B43" s="50">
        <v>39</v>
      </c>
      <c r="C43" s="51" t="s">
        <v>383</v>
      </c>
      <c r="D43" s="51" t="s">
        <v>103</v>
      </c>
      <c r="E43" s="52">
        <v>7</v>
      </c>
      <c r="F43" s="79" t="s">
        <v>1552</v>
      </c>
      <c r="G43" s="53" t="s">
        <v>1465</v>
      </c>
      <c r="H43" s="79" t="s">
        <v>1553</v>
      </c>
      <c r="I43" s="53" t="s">
        <v>1554</v>
      </c>
      <c r="J43" s="53" t="s">
        <v>1555</v>
      </c>
      <c r="K43" s="53"/>
      <c r="L43" s="54"/>
      <c r="M43" s="53"/>
      <c r="N43" s="55"/>
    </row>
    <row r="44" spans="2:14" ht="330.75" customHeight="1" x14ac:dyDescent="0.35">
      <c r="B44" s="50">
        <v>40</v>
      </c>
      <c r="C44" s="51" t="s">
        <v>383</v>
      </c>
      <c r="D44" s="51" t="s">
        <v>103</v>
      </c>
      <c r="E44" s="52">
        <v>7</v>
      </c>
      <c r="F44" s="79" t="s">
        <v>1556</v>
      </c>
      <c r="G44" s="53" t="s">
        <v>1548</v>
      </c>
      <c r="H44" s="79" t="s">
        <v>1557</v>
      </c>
      <c r="I44" s="53" t="s">
        <v>1558</v>
      </c>
      <c r="J44" s="53" t="s">
        <v>1559</v>
      </c>
      <c r="K44" s="53"/>
      <c r="L44" s="54"/>
      <c r="M44" s="53"/>
      <c r="N44" s="55"/>
    </row>
    <row r="45" spans="2:14" ht="173.25" customHeight="1" x14ac:dyDescent="0.35">
      <c r="B45" s="50">
        <v>41</v>
      </c>
      <c r="C45" s="51" t="s">
        <v>383</v>
      </c>
      <c r="D45" s="51" t="s">
        <v>26</v>
      </c>
      <c r="E45" s="52">
        <v>7</v>
      </c>
      <c r="F45" s="79" t="s">
        <v>1560</v>
      </c>
      <c r="G45" s="53" t="s">
        <v>1536</v>
      </c>
      <c r="H45" s="79" t="s">
        <v>1561</v>
      </c>
      <c r="I45" s="53" t="s">
        <v>1562</v>
      </c>
      <c r="J45" s="53" t="s">
        <v>1563</v>
      </c>
      <c r="K45" s="53"/>
      <c r="L45" s="54"/>
      <c r="M45" s="53"/>
      <c r="N45" s="55"/>
    </row>
    <row r="46" spans="2:14" ht="409.5" customHeight="1" x14ac:dyDescent="0.35">
      <c r="B46" s="50">
        <v>42</v>
      </c>
      <c r="C46" s="51" t="s">
        <v>383</v>
      </c>
      <c r="D46" s="51" t="s">
        <v>26</v>
      </c>
      <c r="E46" s="52">
        <v>7</v>
      </c>
      <c r="F46" s="79" t="s">
        <v>1564</v>
      </c>
      <c r="G46" s="53" t="s">
        <v>1565</v>
      </c>
      <c r="H46" s="79" t="s">
        <v>1566</v>
      </c>
      <c r="I46" s="53" t="s">
        <v>1567</v>
      </c>
      <c r="J46" s="53" t="s">
        <v>1568</v>
      </c>
      <c r="K46" s="53"/>
      <c r="L46" s="54"/>
      <c r="M46" s="53"/>
      <c r="N46" s="55"/>
    </row>
    <row r="47" spans="2:14" ht="393.75" customHeight="1" x14ac:dyDescent="0.35">
      <c r="B47" s="50">
        <v>43</v>
      </c>
      <c r="C47" s="51" t="s">
        <v>383</v>
      </c>
      <c r="D47" s="51" t="s">
        <v>17</v>
      </c>
      <c r="E47" s="52">
        <v>7</v>
      </c>
      <c r="F47" s="79" t="s">
        <v>1569</v>
      </c>
      <c r="G47" s="53" t="s">
        <v>1570</v>
      </c>
      <c r="H47" s="79" t="s">
        <v>1571</v>
      </c>
      <c r="I47" s="53" t="s">
        <v>1572</v>
      </c>
      <c r="J47" s="53" t="s">
        <v>1573</v>
      </c>
      <c r="K47" s="53"/>
      <c r="L47" s="54"/>
      <c r="M47" s="53"/>
      <c r="N47" s="55"/>
    </row>
    <row r="48" spans="2:14" ht="362.25" customHeight="1" x14ac:dyDescent="0.35">
      <c r="B48" s="50">
        <v>44</v>
      </c>
      <c r="C48" s="51" t="s">
        <v>383</v>
      </c>
      <c r="D48" s="51" t="s">
        <v>103</v>
      </c>
      <c r="E48" s="52">
        <v>7</v>
      </c>
      <c r="F48" s="79" t="s">
        <v>1574</v>
      </c>
      <c r="G48" s="53" t="s">
        <v>1575</v>
      </c>
      <c r="H48" s="79" t="s">
        <v>1571</v>
      </c>
      <c r="I48" s="53" t="s">
        <v>1576</v>
      </c>
      <c r="J48" s="53" t="s">
        <v>1577</v>
      </c>
      <c r="K48" s="53"/>
      <c r="L48" s="54"/>
      <c r="M48" s="53"/>
      <c r="N48" s="55"/>
    </row>
    <row r="49" spans="2:14" ht="409.5" customHeight="1" x14ac:dyDescent="0.35">
      <c r="B49" s="50">
        <v>45</v>
      </c>
      <c r="C49" s="51" t="s">
        <v>383</v>
      </c>
      <c r="D49" s="51" t="s">
        <v>103</v>
      </c>
      <c r="E49" s="52">
        <v>7</v>
      </c>
      <c r="F49" s="79" t="s">
        <v>1578</v>
      </c>
      <c r="G49" s="53" t="s">
        <v>1579</v>
      </c>
      <c r="H49" s="79" t="s">
        <v>1571</v>
      </c>
      <c r="I49" s="53" t="s">
        <v>1580</v>
      </c>
      <c r="J49" s="53" t="s">
        <v>1581</v>
      </c>
      <c r="K49" s="53"/>
      <c r="L49" s="54"/>
      <c r="M49" s="53"/>
      <c r="N49" s="55"/>
    </row>
    <row r="50" spans="2:14" ht="362.25" customHeight="1" x14ac:dyDescent="0.35">
      <c r="B50" s="50">
        <v>46</v>
      </c>
      <c r="C50" s="51" t="s">
        <v>383</v>
      </c>
      <c r="D50" s="51" t="s">
        <v>26</v>
      </c>
      <c r="E50" s="52">
        <v>7</v>
      </c>
      <c r="F50" s="79" t="s">
        <v>1582</v>
      </c>
      <c r="G50" s="53" t="s">
        <v>1583</v>
      </c>
      <c r="H50" s="79" t="s">
        <v>1571</v>
      </c>
      <c r="I50" s="53" t="s">
        <v>1584</v>
      </c>
      <c r="J50" s="53" t="s">
        <v>1585</v>
      </c>
      <c r="K50" s="53"/>
      <c r="L50" s="54"/>
      <c r="M50" s="53"/>
      <c r="N50" s="55"/>
    </row>
    <row r="51" spans="2:14" ht="220.5" customHeight="1" x14ac:dyDescent="0.35">
      <c r="B51" s="50">
        <v>47</v>
      </c>
      <c r="C51" s="51" t="s">
        <v>383</v>
      </c>
      <c r="D51" s="51" t="s">
        <v>17</v>
      </c>
      <c r="E51" s="52">
        <v>7</v>
      </c>
      <c r="F51" s="79" t="s">
        <v>1586</v>
      </c>
      <c r="G51" s="53" t="s">
        <v>1536</v>
      </c>
      <c r="H51" s="79" t="s">
        <v>1587</v>
      </c>
      <c r="I51" s="53" t="s">
        <v>1588</v>
      </c>
      <c r="J51" s="53" t="s">
        <v>1589</v>
      </c>
      <c r="K51" s="53"/>
      <c r="L51" s="54"/>
      <c r="M51" s="53"/>
      <c r="N51" s="55"/>
    </row>
    <row r="52" spans="2:14" ht="378" customHeight="1" x14ac:dyDescent="0.35">
      <c r="B52" s="50">
        <v>48</v>
      </c>
      <c r="C52" s="51" t="s">
        <v>383</v>
      </c>
      <c r="D52" s="51" t="s">
        <v>17</v>
      </c>
      <c r="E52" s="52">
        <v>7</v>
      </c>
      <c r="F52" s="79" t="s">
        <v>1590</v>
      </c>
      <c r="G52" s="53" t="s">
        <v>1591</v>
      </c>
      <c r="H52" s="79" t="s">
        <v>1571</v>
      </c>
      <c r="I52" s="53" t="s">
        <v>1592</v>
      </c>
      <c r="J52" s="53" t="s">
        <v>1593</v>
      </c>
      <c r="K52" s="53"/>
      <c r="L52" s="54"/>
      <c r="M52" s="53"/>
      <c r="N52" s="55"/>
    </row>
    <row r="53" spans="2:14" ht="204.75" customHeight="1" x14ac:dyDescent="0.35">
      <c r="B53" s="50">
        <v>49</v>
      </c>
      <c r="C53" s="51" t="s">
        <v>383</v>
      </c>
      <c r="D53" s="51" t="s">
        <v>17</v>
      </c>
      <c r="E53" s="52">
        <v>7</v>
      </c>
      <c r="F53" s="79" t="s">
        <v>1594</v>
      </c>
      <c r="G53" s="53" t="s">
        <v>1423</v>
      </c>
      <c r="H53" s="79" t="s">
        <v>1595</v>
      </c>
      <c r="I53" s="53" t="s">
        <v>1596</v>
      </c>
      <c r="J53" s="53" t="s">
        <v>1597</v>
      </c>
      <c r="K53" s="53"/>
      <c r="L53" s="54"/>
      <c r="M53" s="53"/>
      <c r="N53" s="55"/>
    </row>
    <row r="54" spans="2:14" ht="157.5" customHeight="1" x14ac:dyDescent="0.35">
      <c r="B54" s="50">
        <v>50</v>
      </c>
      <c r="C54" s="51" t="s">
        <v>383</v>
      </c>
      <c r="D54" s="51" t="s">
        <v>103</v>
      </c>
      <c r="E54" s="52">
        <v>7</v>
      </c>
      <c r="F54" s="79" t="s">
        <v>1598</v>
      </c>
      <c r="G54" s="53" t="s">
        <v>1599</v>
      </c>
      <c r="H54" s="79" t="s">
        <v>1600</v>
      </c>
      <c r="I54" s="53" t="s">
        <v>1601</v>
      </c>
      <c r="J54" s="53" t="s">
        <v>1602</v>
      </c>
      <c r="K54" s="53"/>
      <c r="L54" s="54"/>
      <c r="M54" s="53"/>
      <c r="N54" s="55"/>
    </row>
    <row r="55" spans="2:14" ht="157.5" customHeight="1" x14ac:dyDescent="0.35">
      <c r="B55" s="50">
        <v>51</v>
      </c>
      <c r="C55" s="51" t="s">
        <v>383</v>
      </c>
      <c r="D55" s="51" t="s">
        <v>103</v>
      </c>
      <c r="E55" s="52">
        <v>7</v>
      </c>
      <c r="F55" s="79" t="s">
        <v>1603</v>
      </c>
      <c r="G55" s="53" t="s">
        <v>1536</v>
      </c>
      <c r="H55" s="79" t="s">
        <v>1604</v>
      </c>
      <c r="I55" s="53" t="s">
        <v>1605</v>
      </c>
      <c r="J55" s="53" t="s">
        <v>1606</v>
      </c>
      <c r="K55" s="53"/>
      <c r="L55" s="54"/>
      <c r="M55" s="53"/>
      <c r="N55" s="55"/>
    </row>
    <row r="56" spans="2:14" ht="204.75" customHeight="1" x14ac:dyDescent="0.35">
      <c r="B56" s="50">
        <v>52</v>
      </c>
      <c r="C56" s="51" t="s">
        <v>383</v>
      </c>
      <c r="D56" s="51" t="s">
        <v>103</v>
      </c>
      <c r="E56" s="52">
        <v>7</v>
      </c>
      <c r="F56" s="79" t="s">
        <v>1607</v>
      </c>
      <c r="G56" s="53" t="s">
        <v>1536</v>
      </c>
      <c r="H56" s="79" t="s">
        <v>1608</v>
      </c>
      <c r="I56" s="53" t="s">
        <v>1609</v>
      </c>
      <c r="J56" s="53" t="s">
        <v>1610</v>
      </c>
      <c r="K56" s="53"/>
      <c r="L56" s="54"/>
      <c r="M56" s="53"/>
      <c r="N56" s="55"/>
    </row>
    <row r="57" spans="2:14" ht="267.75" customHeight="1" x14ac:dyDescent="0.35">
      <c r="B57" s="50">
        <v>53</v>
      </c>
      <c r="C57" s="51" t="s">
        <v>383</v>
      </c>
      <c r="D57" s="51" t="s">
        <v>103</v>
      </c>
      <c r="E57" s="52">
        <v>7</v>
      </c>
      <c r="F57" s="79" t="s">
        <v>1611</v>
      </c>
      <c r="G57" s="53" t="s">
        <v>1536</v>
      </c>
      <c r="H57" s="79" t="s">
        <v>1612</v>
      </c>
      <c r="I57" s="53" t="s">
        <v>1613</v>
      </c>
      <c r="J57" s="53" t="s">
        <v>1614</v>
      </c>
      <c r="K57" s="53"/>
      <c r="L57" s="54"/>
      <c r="M57" s="53"/>
      <c r="N57" s="55"/>
    </row>
    <row r="58" spans="2:14" ht="206" customHeight="1" x14ac:dyDescent="0.35">
      <c r="B58" s="50">
        <v>54</v>
      </c>
      <c r="C58" s="51" t="s">
        <v>383</v>
      </c>
      <c r="D58" s="51" t="s">
        <v>26</v>
      </c>
      <c r="E58" s="52">
        <v>7</v>
      </c>
      <c r="F58" s="79" t="s">
        <v>1615</v>
      </c>
      <c r="G58" s="53" t="s">
        <v>1583</v>
      </c>
      <c r="H58" s="79" t="s">
        <v>1616</v>
      </c>
      <c r="I58" s="53" t="s">
        <v>1617</v>
      </c>
      <c r="J58" s="53" t="s">
        <v>1618</v>
      </c>
      <c r="K58" s="53"/>
      <c r="L58" s="54"/>
      <c r="M58" s="53"/>
      <c r="N58" s="55"/>
    </row>
    <row r="59" spans="2:14" ht="409.5" customHeight="1" x14ac:dyDescent="0.45"/>
    <row r="60" spans="2:14" ht="409.5" customHeight="1" x14ac:dyDescent="0.45"/>
    <row r="61" spans="2:14" ht="409.5" customHeight="1" x14ac:dyDescent="0.45"/>
    <row r="62" spans="2:14" ht="409.5" customHeight="1" x14ac:dyDescent="0.45"/>
    <row r="63" spans="2:14" ht="409.5" customHeight="1" x14ac:dyDescent="0.45"/>
    <row r="64" spans="2:14" ht="378" customHeight="1" x14ac:dyDescent="0.45"/>
  </sheetData>
  <mergeCells count="3">
    <mergeCell ref="F3:M3"/>
    <mergeCell ref="B2:M2"/>
    <mergeCell ref="B3:C3"/>
  </mergeCells>
  <conditionalFormatting sqref="K5:K35">
    <cfRule type="cellIs" dxfId="19" priority="44" operator="equal">
      <formula>"Not Applicable"</formula>
    </cfRule>
    <cfRule type="cellIs" dxfId="18" priority="45" operator="equal">
      <formula>"Pass"</formula>
    </cfRule>
    <cfRule type="cellIs" dxfId="17" priority="46" operator="equal">
      <formula>"Not Tested"</formula>
    </cfRule>
    <cfRule type="cellIs" dxfId="16" priority="47" operator="equal">
      <formula>"Not Applicable"</formula>
    </cfRule>
    <cfRule type="cellIs" dxfId="15" priority="48" operator="equal">
      <formula>"Fail"</formula>
    </cfRule>
    <cfRule type="cellIs" dxfId="14" priority="49" operator="equal">
      <formula>"Pass"</formula>
    </cfRule>
  </conditionalFormatting>
  <conditionalFormatting sqref="K5:K58">
    <cfRule type="cellIs" dxfId="13" priority="1" operator="equal">
      <formula>"Not Tested"</formula>
    </cfRule>
  </conditionalFormatting>
  <conditionalFormatting sqref="K37:K58">
    <cfRule type="cellIs" dxfId="12" priority="2" operator="equal">
      <formula>"Not Applicable"</formula>
    </cfRule>
    <cfRule type="cellIs" dxfId="11" priority="3" operator="equal">
      <formula>"Pass"</formula>
    </cfRule>
    <cfRule type="cellIs" dxfId="10" priority="4" operator="equal">
      <formula>"Not Tested"</formula>
    </cfRule>
    <cfRule type="cellIs" dxfId="9" priority="5" operator="equal">
      <formula>"Not Applicable"</formula>
    </cfRule>
    <cfRule type="cellIs" dxfId="8" priority="6" operator="equal">
      <formula>"Fail"</formula>
    </cfRule>
    <cfRule type="cellIs" dxfId="7" priority="7" operator="equal">
      <formula>"Pass"</formula>
    </cfRule>
  </conditionalFormatting>
  <conditionalFormatting sqref="L5:L58">
    <cfRule type="cellIs" dxfId="6" priority="8" operator="equal">
      <formula>"Cancelled"</formula>
    </cfRule>
    <cfRule type="cellIs" dxfId="5" priority="9" operator="equal">
      <formula>"N/A"</formula>
    </cfRule>
    <cfRule type="cellIs" dxfId="4" priority="10" operator="equal">
      <formula>"Pass"</formula>
    </cfRule>
    <cfRule type="cellIs" dxfId="3" priority="11" operator="equal">
      <formula>"In-Progress"</formula>
    </cfRule>
    <cfRule type="cellIs" dxfId="2" priority="12" operator="equal">
      <formula>"Blocked"</formula>
    </cfRule>
    <cfRule type="cellIs" dxfId="1" priority="13" operator="equal">
      <formula>"Fail"</formula>
    </cfRule>
    <cfRule type="cellIs" dxfId="0" priority="14" operator="equal">
      <formula>"Pass"</formula>
    </cfRule>
  </conditionalFormatting>
  <dataValidations count="1">
    <dataValidation type="list" allowBlank="1" showInputMessage="1" showErrorMessage="1" sqref="L5:L58" xr:uid="{00000000-0002-0000-1D00-000000000000}">
      <formula1>"Pass, Fail, Blocked, NA"</formula1>
    </dataValidation>
  </dataValidations>
  <pageMargins left="0.7" right="0.7" top="0.75" bottom="0.75" header="0.3" footer="0.3"/>
  <pageSetup paperSize="9" orientation="portrait" verticalDpi="0"/>
  <headerFooter>
    <oddHeader>&amp;L&amp;"Arial"&amp;1 &amp;K000000INTERNAL#</oddHeader>
  </headerFooter>
  <drawing r:id="rId1"/>
</worksheet>
</file>

<file path=docMetadata/LabelInfo.xml><?xml version="1.0" encoding="utf-8"?>
<clbl:labelList xmlns:clbl="http://schemas.microsoft.com/office/2020/mipLabelMetadata">
  <clbl:label id="{b1c9b508-7c6e-42bd-bedf-808292653d6c}" enabled="1" method="Standard" siteId="{2882be50-2012-4d88-ac86-544124e120c8}"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Demo Mode</vt:lpstr>
      <vt:lpstr>Customer Enrollment</vt:lpstr>
      <vt:lpstr>Add VIN</vt:lpstr>
      <vt:lpstr>App Registration Pages</vt:lpstr>
      <vt:lpstr>App Log in-Log out</vt:lpstr>
      <vt:lpstr>Nickname</vt:lpstr>
      <vt:lpstr>Services and licenses</vt:lpstr>
      <vt:lpstr>Vehicle Status Report</vt:lpstr>
      <vt:lpstr>Remote Lock-Unlock</vt:lpstr>
      <vt:lpstr>Remote Honk &amp; Flash</vt:lpstr>
      <vt:lpstr>My Car Statistics</vt:lpstr>
      <vt:lpstr>My Cabin Comfort</vt:lpstr>
      <vt:lpstr>My Battery Charge</vt:lpstr>
      <vt:lpstr>Service Management</vt:lpstr>
      <vt:lpstr>Activate Heating</vt:lpstr>
      <vt:lpstr>Roadside Assistance</vt:lpstr>
      <vt:lpstr>Data Services</vt:lpstr>
      <vt:lpstr>My Alerts</vt:lpstr>
      <vt:lpstr>Theft Alarm</vt:lpstr>
      <vt:lpstr>Stolen Vehicle Locator</vt:lpstr>
      <vt:lpstr>Audials</vt:lpstr>
      <vt:lpstr>Car Finder</vt:lpstr>
      <vt:lpstr>Nav Companion</vt:lpstr>
      <vt:lpstr>Notifications</vt:lpstr>
      <vt:lpstr>Push Notifications</vt:lpstr>
      <vt:lpstr>Profile</vt:lpstr>
      <vt:lpstr>Localization</vt:lpstr>
      <vt:lpstr>Privacy Mode</vt:lpstr>
      <vt:lpstr>Remote Park Assist</vt:lpstr>
      <vt:lpstr>Stolen Vehicle Tracking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Mahapatra, Dibya (Contractor)</dc:creator>
  <cp:lastModifiedBy>Sharp, Harry (GQM)</cp:lastModifiedBy>
  <dcterms:created xsi:type="dcterms:W3CDTF">2006-09-16T00:00:00Z</dcterms:created>
  <dcterms:modified xsi:type="dcterms:W3CDTF">2025-11-30T23:56:53Z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1c9b508-7c6e-42bd-bedf-808292653d6c_Enabled">
    <vt:lpwstr>true</vt:lpwstr>
  </property>
  <property fmtid="{D5CDD505-2E9C-101B-9397-08002B2CF9AE}" pid="3" name="MSIP_Label_b1c9b508-7c6e-42bd-bedf-808292653d6c_SetDate">
    <vt:lpwstr>2024-05-07T18:48:42Z</vt:lpwstr>
  </property>
  <property fmtid="{D5CDD505-2E9C-101B-9397-08002B2CF9AE}" pid="4" name="MSIP_Label_b1c9b508-7c6e-42bd-bedf-808292653d6c_Method">
    <vt:lpwstr>Standard</vt:lpwstr>
  </property>
  <property fmtid="{D5CDD505-2E9C-101B-9397-08002B2CF9AE}" pid="5" name="MSIP_Label_b1c9b508-7c6e-42bd-bedf-808292653d6c_Name">
    <vt:lpwstr>b1c9b508-7c6e-42bd-bedf-808292653d6c</vt:lpwstr>
  </property>
  <property fmtid="{D5CDD505-2E9C-101B-9397-08002B2CF9AE}" pid="6" name="MSIP_Label_b1c9b508-7c6e-42bd-bedf-808292653d6c_SiteId">
    <vt:lpwstr>2882be50-2012-4d88-ac86-544124e120c8</vt:lpwstr>
  </property>
  <property fmtid="{D5CDD505-2E9C-101B-9397-08002B2CF9AE}" pid="7" name="MSIP_Label_b1c9b508-7c6e-42bd-bedf-808292653d6c_ActionId">
    <vt:lpwstr>5a81347f-6857-440d-9a6b-896d081f393d</vt:lpwstr>
  </property>
  <property fmtid="{D5CDD505-2E9C-101B-9397-08002B2CF9AE}" pid="8" name="MSIP_Label_b1c9b508-7c6e-42bd-bedf-808292653d6c_ContentBits">
    <vt:lpwstr>3</vt:lpwstr>
  </property>
  <property fmtid="{D5CDD505-2E9C-101B-9397-08002B2CF9AE}" pid="9" name="ContentTypeId">
    <vt:lpwstr>0x010100F4EA6EDD3722D642A0F684B8D0BE95EA</vt:lpwstr>
  </property>
  <property fmtid="{D5CDD505-2E9C-101B-9397-08002B2CF9AE}" pid="10" name="MediaServiceImageTags">
    <vt:lpwstr/>
  </property>
  <property fmtid="{D5CDD505-2E9C-101B-9397-08002B2CF9AE}" pid="11" name="RevIMBCS">
    <vt:lpwstr>1;#0.1 Initial category|0239cc7a-0c96-48a8-9e0e-a383e362571c</vt:lpwstr>
  </property>
  <property fmtid="{D5CDD505-2E9C-101B-9397-08002B2CF9AE}" pid="12" name="LegalHoldTag">
    <vt:lpwstr/>
  </property>
</Properties>
</file>