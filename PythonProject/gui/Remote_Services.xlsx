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5" yWindow="0" windowWidth="22470" windowHeight="15585" tabRatio="779" firstSheet="19" activeTab="22"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OFFSET([2]Dashboard!$C$15,0,0,COUNTA([2]Dashboard!$C$15:$C$100)-1,1)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[3]ChartBox!#REF!</definedName>
    <definedName name="Service" localSheetId="29">OFFSET(#REF!,0,0,COUNTA(#REF!)-1,1)</definedName>
    <definedName name="Service_Name" localSheetId="29">[3]Dashboard!$C$17:INDEX([3]Dashboard!$C$17:$C$49,COUNTIF([3]Dashboard!$C$17:$C$49,"?*"))</definedName>
    <definedName name="Status" localSheetId="29">[3]ChartBox!#REF!</definedName>
    <definedName name="TCIncomplete" localSheetId="29">[3]Dashboard!$J$17:INDEX([3]Dashboard!$J$17:$J$49,COUNTIF([3]Dashboard!$J$17:$J$49,"?*"))</definedName>
    <definedName name="TComplete" localSheetId="29">[3]Dashboard!$I$17:INDEX([3]Dashboard!$I$17:$I$49,COUNTIF([3]Dashboard!$I$17:$I$49,"?*"))</definedName>
    <definedName name="TestType" localSheetId="29">[3]ChartBox!#REF!</definedName>
    <definedName name="TIPercentage" localSheetId="29">(1-(SUM([3]Dashboard!$E$17:$E$49,[3]Dashboard!$F$17:$F$49, [3]Dashboard!$G$17:$G$49, [3]Dashboard!$H$17:$H$49))/SUM([3]Dashboard!$D$17:$D$49))*100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7">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5">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10" applyAlignment="1" pivotButton="0" quotePrefix="0" xfId="0">
      <alignment horizontal="left" vertical="center"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2" fillId="6" borderId="2" applyAlignment="1" pivotButton="0" quotePrefix="0" xfId="0">
      <alignment horizontal="left" vertical="center"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6" borderId="25" applyAlignment="1" pivotButton="0" quotePrefix="0" xfId="0">
      <alignment horizontal="left" vertical="center" wrapText="1"/>
    </xf>
    <xf numFmtId="0" fontId="2" fillId="0" borderId="2" applyAlignment="1" pivotButton="0" quotePrefix="1" xfId="0">
      <alignment vertical="center"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05">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9237</colOff>
      <row>1</row>
      <rowOff>355043</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topLeftCell="A12" zoomScale="90" zoomScaleNormal="90" workbookViewId="0">
      <selection activeCell="F8" sqref="F8"/>
    </sheetView>
  </sheetViews>
  <sheetFormatPr baseColWidth="8" defaultColWidth="8.7109375" defaultRowHeight="15"/>
  <cols>
    <col width="3.28515625" customWidth="1" min="1" max="1"/>
    <col width="6.85546875" customWidth="1" min="2" max="2"/>
    <col width="16.28515625" customWidth="1" min="3" max="3"/>
    <col width="14.42578125" customWidth="1" min="4" max="4"/>
    <col width="11.28515625" customWidth="1" style="32" min="5" max="5"/>
    <col width="37.28515625" customWidth="1" min="6" max="6"/>
    <col width="48.5703125" customWidth="1" min="7" max="7"/>
    <col width="55.140625" customWidth="1" min="8" max="8"/>
    <col width="39.42578125" customWidth="1" min="9" max="9"/>
    <col width="47" customWidth="1" min="10" max="10"/>
    <col width="14.5703125" customWidth="1" min="11" max="11"/>
    <col width="19.42578125" customWidth="1" min="12" max="12"/>
    <col width="18.85546875" customWidth="1" min="13" max="13"/>
    <col width="13.28515625" customWidth="1" min="14" max="14"/>
  </cols>
  <sheetData>
    <row r="1" ht="15.75" customHeight="1" thickBot="1"/>
    <row r="2" ht="29.25" customHeight="1" thickBot="1">
      <c r="B2" s="227" t="inlineStr">
        <is>
          <t>Demo Mode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My Bentley App must be installed in the mobile phone successfully.</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63" customHeight="1">
      <c r="B5" s="127" t="n">
        <v>1</v>
      </c>
      <c r="C5" s="117" t="inlineStr">
        <is>
          <t>EUR, NAR, CHN</t>
        </is>
      </c>
      <c r="D5" s="117" t="inlineStr">
        <is>
          <t>High</t>
        </is>
      </c>
      <c r="E5" s="118">
        <f>(3+2+2)/3</f>
        <v/>
      </c>
      <c r="F5" s="145" t="inlineStr">
        <is>
          <t>Accessing ''DISCOVER MY BENTLEY''</t>
        </is>
      </c>
      <c r="G5" s="120" t="inlineStr">
        <is>
          <t>• The screen focus is in "My Bentley App - DISCOVER MY BENTLEY" page
( Open My Bentley App --&gt; DISCOVER MY BENTLEY )</t>
        </is>
      </c>
      <c r="H5" s="67" t="n"/>
      <c r="I5" s="120" t="inlineStr">
        <is>
          <t>Click on 'DISCOVER MY BENTLEY' link</t>
        </is>
      </c>
      <c r="J5" s="120" t="inlineStr">
        <is>
          <t>The Demo mode 'DASHBOARD' screen should be launched successfully displaying the vehicle details</t>
        </is>
      </c>
      <c r="K5" s="170" t="n"/>
      <c r="L5" s="121" t="n"/>
      <c r="M5" s="171" t="n"/>
      <c r="N5" s="172"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1" t="n"/>
      <c r="B18" s="109" t="n">
        <v>14</v>
      </c>
      <c r="C18" s="92" t="inlineStr">
        <is>
          <t>EUR, NAR, CHN</t>
        </is>
      </c>
      <c r="D18" s="92" t="inlineStr">
        <is>
          <t>Low</t>
        </is>
      </c>
      <c r="E18" s="93" t="n">
        <v>10</v>
      </c>
      <c r="F18" s="94" t="inlineStr">
        <is>
          <t>Verify all the screen with Bentley style guide.</t>
        </is>
      </c>
      <c r="G18" s="94" t="inlineStr">
        <is>
          <t>• N/A</t>
        </is>
      </c>
      <c r="H18" s="67" t="n"/>
      <c r="I18" s="94" t="inlineStr">
        <is>
          <t>Observe all the screen's icon, font, colour</t>
        </is>
      </c>
      <c r="J18" s="94" t="inlineStr">
        <is>
          <t>All the icon, font, colour should be followed as per Bentley style guide.</t>
        </is>
      </c>
      <c r="K18" s="94" t="n"/>
      <c r="L18" s="96" t="n"/>
      <c r="M18" s="94" t="n"/>
      <c r="N18" s="97"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topLeftCell="A28" zoomScale="70" zoomScaleNormal="70" workbookViewId="0">
      <selection activeCell="I5" sqref="I5"/>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78.28515625" customWidth="1" style="43" min="8" max="8"/>
    <col width="52.28515625" customWidth="1" style="44" min="9" max="9"/>
    <col width="43.5703125" customWidth="1" style="44" min="10" max="10"/>
    <col width="13.140625" customWidth="1" style="44" min="11" max="11"/>
    <col width="19.42578125" customWidth="1" style="43" min="12" max="12"/>
    <col width="18.85546875" customWidth="1" style="43" min="13" max="13"/>
    <col width="18.7109375" customWidth="1" style="46" min="14" max="14"/>
    <col width="8.7109375" customWidth="1" style="46" min="15" max="36"/>
    <col width="8.7109375" customWidth="1" style="46" min="37" max="16384"/>
  </cols>
  <sheetData>
    <row r="1" ht="16.5" customHeight="1" thickBot="1"/>
    <row r="2" ht="29.25" customHeight="1" thickBot="1">
      <c r="B2" s="227" t="inlineStr">
        <is>
          <t>Customer Enrollment</t>
        </is>
      </c>
      <c r="C2" s="228" t="n"/>
      <c r="D2" s="228" t="n"/>
      <c r="E2" s="228" t="n"/>
      <c r="F2" s="228" t="n"/>
      <c r="G2" s="228" t="n"/>
      <c r="H2" s="228" t="n"/>
      <c r="I2" s="228" t="n"/>
      <c r="J2" s="228" t="n"/>
      <c r="K2" s="228" t="n"/>
      <c r="L2" s="228" t="n"/>
      <c r="M2" s="229" t="n"/>
    </row>
    <row r="3" ht="30.75" customHeight="1" thickBot="1">
      <c r="B3" s="98" t="inlineStr">
        <is>
          <t>Precondition</t>
        </is>
      </c>
      <c r="C3" s="99" t="n"/>
      <c r="D3" s="100" t="n"/>
      <c r="E3" s="100" t="n"/>
      <c r="F3" s="231"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30.75" customHeight="1" thickBot="1">
      <c r="A4" t="inlineStr"/>
      <c r="B4" s="167" t="inlineStr">
        <is>
          <t>TC ID</t>
        </is>
      </c>
      <c r="C4" s="168" t="inlineStr">
        <is>
          <t>Region</t>
        </is>
      </c>
      <c r="D4" s="168" t="inlineStr">
        <is>
          <t>Test Priority</t>
        </is>
      </c>
      <c r="E4" s="168" t="inlineStr">
        <is>
          <t>Overall Effort (in Mins)</t>
        </is>
      </c>
      <c r="F4" s="168" t="inlineStr">
        <is>
          <t>Test Case Title</t>
        </is>
      </c>
      <c r="G4" s="168" t="inlineStr">
        <is>
          <t>Pre-Condition</t>
        </is>
      </c>
      <c r="H4" s="168" t="inlineStr">
        <is>
          <t>Pre-Condition (Vehicle)</t>
        </is>
      </c>
      <c r="I4" s="168" t="inlineStr">
        <is>
          <t>Action</t>
        </is>
      </c>
      <c r="J4" s="168" t="inlineStr">
        <is>
          <t>Expected Result</t>
        </is>
      </c>
      <c r="K4" s="168" t="inlineStr">
        <is>
          <t>Actual Result</t>
        </is>
      </c>
      <c r="L4" s="168" t="inlineStr">
        <is>
          <t>Test Result</t>
        </is>
      </c>
      <c r="M4" s="168" t="inlineStr">
        <is>
          <t>No Of Observation</t>
        </is>
      </c>
      <c r="N4" s="169" t="inlineStr">
        <is>
          <t>Defect IDs/Comments</t>
        </is>
      </c>
    </row>
    <row r="5" ht="270" customHeight="1">
      <c r="B5" s="156" t="n">
        <v>1</v>
      </c>
      <c r="C5" s="157" t="inlineStr">
        <is>
          <t>EUR, NAR</t>
        </is>
      </c>
      <c r="D5" s="157" t="inlineStr">
        <is>
          <t>High</t>
        </is>
      </c>
      <c r="E5" s="158" t="n">
        <v>5</v>
      </c>
      <c r="F5" s="159" t="inlineStr">
        <is>
          <t>Verify the Bentley Customer Enrolment Process via Correct FPIN</t>
        </is>
      </c>
      <c r="G5" s="159" t="inlineStr">
        <is>
          <t>• Log-In to My Bentley App credentials available</t>
        </is>
      </c>
      <c r="H5" s="103" t="inlineStr">
        <is>
          <t>• No user has ever generated a vehicle code for this VIN
• Privacy Mode is disabed in the vehicle HMI</t>
        </is>
      </c>
      <c r="I5" s="159"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9"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60" t="n"/>
      <c r="L5" s="161" t="n"/>
      <c r="M5" s="160" t="n"/>
      <c r="N5" s="162" t="n"/>
    </row>
    <row r="6" ht="270" customHeight="1">
      <c r="B6" s="163" t="n">
        <v>2</v>
      </c>
      <c r="C6" s="101" t="inlineStr">
        <is>
          <t>EUR, NAR</t>
        </is>
      </c>
      <c r="D6" s="101" t="inlineStr">
        <is>
          <t>High</t>
        </is>
      </c>
      <c r="E6" s="102" t="n">
        <v>5</v>
      </c>
      <c r="F6" s="103" t="inlineStr">
        <is>
          <t>Verify the Bentley Customer Enrolment Process via Incorrect FPIN</t>
        </is>
      </c>
      <c r="G6" s="103" t="inlineStr">
        <is>
          <t xml:space="preserve">• Log-In to My Bentley App credentials available
</t>
        </is>
      </c>
      <c r="H6" s="103" t="inlineStr">
        <is>
          <t>• User has a VIN linked to their account with no Primary User nominated
• No user has ever generated a vehicle code for this VIN
• Privacy Mode is disabed in the vehicle HMI</t>
        </is>
      </c>
      <c r="I6" s="103"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3"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4" t="n"/>
      <c r="L6" s="105" t="n"/>
      <c r="M6" s="104" t="n"/>
      <c r="N6" s="164" t="n"/>
    </row>
    <row r="7" ht="195" customHeight="1">
      <c r="B7" s="163" t="n">
        <v>3</v>
      </c>
      <c r="C7" s="101" t="inlineStr">
        <is>
          <t>EUR, NAR</t>
        </is>
      </c>
      <c r="D7" s="101" t="inlineStr">
        <is>
          <t>High</t>
        </is>
      </c>
      <c r="E7" s="102" t="n">
        <v>5</v>
      </c>
      <c r="F7" s="103" t="inlineStr">
        <is>
          <t>Verify 'SET YOUR PRIMARY USER' section in DASHBOARD screen of My Bentley App</t>
        </is>
      </c>
      <c r="G7" s="103" t="inlineStr">
        <is>
          <t>• Logged in to My Bentley App with valid credentials
• Focus is in vehicle "DASHBOARD" screen of My Bentley App</t>
        </is>
      </c>
      <c r="H7" s="103" t="inlineStr">
        <is>
          <t>• Vehicle already added in My Bentley App
• User has a VIN linked to their account with no Primary User nominated
• User has not generated a vehicle code for this VIN
• Privacy Mode is disabed in the vehicle HMI</t>
        </is>
      </c>
      <c r="I7" s="103" t="inlineStr">
        <is>
          <t>1. Verify 'SET YOUR PRIMARY USER' section in 'DASHBOARD' screen of My Bentley App</t>
        </is>
      </c>
      <c r="J7" s="103"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5" t="n"/>
      <c r="L7" s="105" t="n"/>
      <c r="M7" s="16" t="n"/>
      <c r="N7" s="164" t="n"/>
    </row>
    <row r="8" ht="240" customHeight="1">
      <c r="B8" s="163" t="n">
        <v>4</v>
      </c>
      <c r="C8" s="101" t="inlineStr">
        <is>
          <t>EUR, NAR</t>
        </is>
      </c>
      <c r="D8" s="101" t="inlineStr">
        <is>
          <t>High</t>
        </is>
      </c>
      <c r="E8" s="102" t="n">
        <v>5</v>
      </c>
      <c r="F8" s="103" t="inlineStr">
        <is>
          <t>Verify generating vehicle code in new Bentley Customer Enrolment Process</t>
        </is>
      </c>
      <c r="G8" s="103" t="inlineStr">
        <is>
          <t>• Logged in to My Bentley App with valid credentials
• Focus is in vehicle "DASHBOARD" screen of My Bentley App</t>
        </is>
      </c>
      <c r="H8" s="103" t="inlineStr">
        <is>
          <t>• Vehicle already added in My Bentley App
• User has a VIN linked to their account with no Primary User nominated
• User has not generated a vehicle code for this VIN
• Privacy Mode is disabed in the vehicle HMI</t>
        </is>
      </c>
      <c r="I8" s="103" t="inlineStr">
        <is>
          <t xml:space="preserve">1. Under 'SET YOUR PRIMARY USER' section in 'DASHBOARD' screen of My Bentley App, Click on 'GENERATE VEHICLE CODE' button
2. Click on 'Generate vehicle code' on the confirmation message 
</t>
        </is>
      </c>
      <c r="J8" s="103"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5" t="n"/>
      <c r="L8" s="105" t="n"/>
      <c r="M8" s="16" t="n"/>
      <c r="N8" s="164" t="n"/>
    </row>
    <row r="9" ht="150" customHeight="1">
      <c r="B9" s="163" t="n">
        <v>5</v>
      </c>
      <c r="C9" s="101" t="inlineStr">
        <is>
          <t>EUR, NAR</t>
        </is>
      </c>
      <c r="D9" s="101" t="inlineStr">
        <is>
          <t>High</t>
        </is>
      </c>
      <c r="E9" s="102" t="n">
        <v>5</v>
      </c>
      <c r="F9" s="16" t="inlineStr">
        <is>
          <t>Verify 'VIEW VEHICLE CODE' button display for Bentley Customer Enrolment if the code is already generated</t>
        </is>
      </c>
      <c r="G9" s="103" t="inlineStr">
        <is>
          <t xml:space="preserve">• Logged in to My Bentley App with valid credentials
• Focus is in vehicle "DASHBOARD" screen of My Bentley App
</t>
        </is>
      </c>
      <c r="H9" s="103" t="inlineStr">
        <is>
          <t>• Vehicle already added in My Bentley App
• User has a VIN linked to their account with no Primary User nominated
• User has generated a vehicle code for this VIN
• Privacy Mode is disabed in the vehicle HMI</t>
        </is>
      </c>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5" t="n"/>
      <c r="L9" s="105" t="n"/>
      <c r="M9" s="16" t="n"/>
      <c r="N9" s="165" t="n"/>
    </row>
    <row r="10" ht="225" customHeight="1">
      <c r="B10" s="163" t="n">
        <v>6</v>
      </c>
      <c r="C10" s="101" t="inlineStr">
        <is>
          <t>EUR, NAR</t>
        </is>
      </c>
      <c r="D10" s="101" t="inlineStr">
        <is>
          <t>Low</t>
        </is>
      </c>
      <c r="E10" s="102" t="n">
        <v>5</v>
      </c>
      <c r="F10" s="16" t="inlineStr">
        <is>
          <t>Verify 'GENERATE VEHICLE CODE' button when there is no network</t>
        </is>
      </c>
      <c r="G10" s="103" t="inlineStr">
        <is>
          <t>• Logged in to My Bentley App with valid credentials
• Focus is in vehicle "DASHBOARD" screen of My Bentley App</t>
        </is>
      </c>
      <c r="H10" s="103" t="inlineStr">
        <is>
          <t>• Vehicle already added in My Bentley App
• User has a VIN linked to their account with no Primary User nominated
• User has not generated a vehicle code for this VIN
• Privacy Mode is disabed in the vehicle HMI</t>
        </is>
      </c>
      <c r="I10" s="103" t="inlineStr">
        <is>
          <t>1. Enable Flight Mode in mobile where 'My Bentley App' is installed
2. Under 'SET YOUR PRIMARY USER' section in 'DASHBOARD' screen of My Bentley App, Validate 'GENERATE VEHICLE CODE' button</t>
        </is>
      </c>
      <c r="J10" s="103"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5" t="n"/>
      <c r="L10" s="105" t="n"/>
      <c r="M10" s="16" t="n"/>
      <c r="N10" s="165" t="n"/>
    </row>
    <row r="11" ht="285" customHeight="1">
      <c r="B11" s="163" t="n">
        <v>7</v>
      </c>
      <c r="C11" s="101" t="inlineStr">
        <is>
          <t>EUR, NAR</t>
        </is>
      </c>
      <c r="D11" s="101" t="inlineStr">
        <is>
          <t>High</t>
        </is>
      </c>
      <c r="E11" s="102" t="n">
        <v>5</v>
      </c>
      <c r="F11" s="103" t="inlineStr">
        <is>
          <t>Verify new Bentley Customer Enrolment Process via correct vehicle code</t>
        </is>
      </c>
      <c r="G11" s="103" t="inlineStr">
        <is>
          <t xml:space="preserve">• Logged in to My Bentley App with valid credentials
• Focus is in vehicle "DASHBOARD" screen of My Bentley App
</t>
        </is>
      </c>
      <c r="H11" s="103" t="inlineStr">
        <is>
          <t>• Vehicle already added in My Bentley App
• User has a VIN linked to their account with no Primary User nominated
• User has generated a vehicle code for this VIN
• Privacy Mode is disabed in the vehicle HMI</t>
        </is>
      </c>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5" t="n"/>
      <c r="L11" s="105" t="n"/>
      <c r="M11" s="16" t="n"/>
      <c r="N11" s="164" t="n"/>
    </row>
    <row r="12" ht="225" customHeight="1">
      <c r="B12" s="163" t="n">
        <v>8</v>
      </c>
      <c r="C12" s="101" t="inlineStr">
        <is>
          <t>EUR, NAR</t>
        </is>
      </c>
      <c r="D12" s="101" t="inlineStr">
        <is>
          <t>Medium</t>
        </is>
      </c>
      <c r="E12" s="102" t="n">
        <v>5</v>
      </c>
      <c r="F12" s="103" t="inlineStr">
        <is>
          <t>Verify new Bentley Customer Enrolment Process via incorrect vehicle code</t>
        </is>
      </c>
      <c r="G12" s="103" t="inlineStr">
        <is>
          <t xml:space="preserve">• Logged in to My Bentley App with valid credentials
• Focus is in vehicle "DASHBOARD" screen of My Bentley App
</t>
        </is>
      </c>
      <c r="H12" s="103" t="inlineStr">
        <is>
          <t>• Vehicle already added in My Bentley App
• User has a VIN linked to their account with no Primary User nominated
• User has not generated a vehicle code for this VIN
• Privacy Mode is disabed in the vehicle HMI</t>
        </is>
      </c>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5" t="n"/>
      <c r="L12" s="105" t="n"/>
      <c r="M12" s="16" t="n"/>
      <c r="N12" s="164" t="n"/>
    </row>
    <row r="13" ht="135" customHeight="1">
      <c r="B13" s="163" t="n">
        <v>9</v>
      </c>
      <c r="C13" s="101" t="inlineStr">
        <is>
          <t>EUR, NAR</t>
        </is>
      </c>
      <c r="D13" s="101" t="inlineStr">
        <is>
          <t>Low</t>
        </is>
      </c>
      <c r="E13" s="102" t="n">
        <v>5</v>
      </c>
      <c r="F13" s="103" t="inlineStr">
        <is>
          <t>Verify new Bentley Customer Enrolment Process via incorrect vehicle code for 10 times</t>
        </is>
      </c>
      <c r="G13" s="103" t="inlineStr">
        <is>
          <t xml:space="preserve">• Logged in to My Bentley App with valid credentials
• Focus is in vehicle "DASHBOARD" screen of My Bentley App
</t>
        </is>
      </c>
      <c r="H13" s="103" t="inlineStr">
        <is>
          <t>• Vehicle already added in My Bentley App
• User has a VIN linked to their account with no Primary User nominated
• User has not generated a vehicle code for this VIN
• Privacy Mode is disabed in the vehicle HMI</t>
        </is>
      </c>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5" t="n"/>
      <c r="L13" s="105" t="n"/>
      <c r="M13" s="16" t="n"/>
      <c r="N13" s="164" t="n"/>
    </row>
    <row r="14" ht="409.5" customHeight="1">
      <c r="B14" s="163" t="n">
        <v>10</v>
      </c>
      <c r="C14" s="101" t="inlineStr">
        <is>
          <t>EUR, NAR</t>
        </is>
      </c>
      <c r="D14" s="101" t="inlineStr">
        <is>
          <t>Medium</t>
        </is>
      </c>
      <c r="E14" s="102"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t>
        </is>
      </c>
      <c r="H14" s="103" t="inlineStr">
        <is>
          <t>• Vehicle already added in My Bentley App
• User has a VIN linked to their account with no Primary User nominated
• User has not generated a vehicle code for this VIN
• Privacy Mode is disabed in the vehicle HMI</t>
        </is>
      </c>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5" t="n"/>
      <c r="L14" s="105" t="n"/>
      <c r="M14" s="16" t="n"/>
      <c r="N14" s="164" t="n"/>
    </row>
    <row r="15" ht="409.5" customHeight="1">
      <c r="B15" s="163" t="n">
        <v>11</v>
      </c>
      <c r="C15" s="101" t="inlineStr">
        <is>
          <t>EUR, NAR</t>
        </is>
      </c>
      <c r="D15" s="101" t="inlineStr">
        <is>
          <t>Low</t>
        </is>
      </c>
      <c r="E15" s="102" t="n">
        <v>5</v>
      </c>
      <c r="F15" s="16" t="inlineStr">
        <is>
          <t>Verify turning off mobile while vehicle code generation for Customer Enrolment Process in progress</t>
        </is>
      </c>
      <c r="G15" s="16" t="inlineStr">
        <is>
          <t>• Logged in to My Bentley App with valid credentials
• Focus is in vehicle "DASHBOARD" screen of My Bentley App</t>
        </is>
      </c>
      <c r="H15" s="103" t="inlineStr">
        <is>
          <t>• Vehicle already added in My Bentley App
• User has a VIN linked to their account with no Primary User nominated
• User has not generated a vehicle code for this VIN
• Privacy Mode is disabed in the vehicle HMI</t>
        </is>
      </c>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5" t="n"/>
      <c r="L15" s="105" t="n"/>
      <c r="M15" s="16" t="n"/>
      <c r="N15" s="164" t="n"/>
    </row>
    <row r="16" ht="409.5" customHeight="1">
      <c r="B16" s="163" t="n">
        <v>12</v>
      </c>
      <c r="C16" s="101" t="inlineStr">
        <is>
          <t>EUR, NAR</t>
        </is>
      </c>
      <c r="D16" s="101" t="inlineStr">
        <is>
          <t>Medium</t>
        </is>
      </c>
      <c r="E16" s="102" t="n">
        <v>5</v>
      </c>
      <c r="F16" s="16" t="inlineStr">
        <is>
          <t>Verify interruptions while vehicle code generation for Customer Enrolment Process in progress</t>
        </is>
      </c>
      <c r="G16" s="16" t="inlineStr">
        <is>
          <t>• Logged in to My Bentley App with valid credentials
• Focus is in vehicle "DASHBOARD" screen of My Bentley App</t>
        </is>
      </c>
      <c r="H16" s="103" t="inlineStr">
        <is>
          <t>• Vehicle already added in My Bentley App
• User has a VIN linked to their account with no Primary User nominated
• User has not generated a vehicle code for this VIN
• Privacy Mode is disabed in the vehicle HMI</t>
        </is>
      </c>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5" t="n"/>
      <c r="L16" s="105" t="n"/>
      <c r="M16" s="16" t="n"/>
      <c r="N16" s="164" t="n"/>
    </row>
    <row r="17" ht="240" customHeight="1">
      <c r="B17" s="163" t="n">
        <v>13</v>
      </c>
      <c r="C17" s="101" t="inlineStr">
        <is>
          <t>EUR, NAR</t>
        </is>
      </c>
      <c r="D17" s="101" t="inlineStr">
        <is>
          <t>Medium</t>
        </is>
      </c>
      <c r="E17" s="102"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t>
        </is>
      </c>
      <c r="H17" s="103" t="inlineStr">
        <is>
          <t>• Not logged in to My Bentley App
• Vehicle already added in My Bentley App
• User has a VIN linked to their account with Primary User nominated
• Privacy Mode is disabed in the vehicle HMI</t>
        </is>
      </c>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5" t="n"/>
      <c r="L17" s="105" t="n"/>
      <c r="M17" s="16" t="n"/>
      <c r="N17" s="164" t="n"/>
    </row>
    <row r="18" ht="270" customHeight="1">
      <c r="B18" s="163" t="n">
        <v>14</v>
      </c>
      <c r="C18" s="101" t="inlineStr">
        <is>
          <t>EUR, NAR</t>
        </is>
      </c>
      <c r="D18" s="101" t="inlineStr">
        <is>
          <t>Low</t>
        </is>
      </c>
      <c r="E18" s="102"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t>
        </is>
      </c>
      <c r="H18" s="103" t="inlineStr">
        <is>
          <t>• Vehicle already added in My Bentley App
• User has a VIN linked to their account with Primary User nominated
• Privacy Mode is disabed in the vehicle HMI</t>
        </is>
      </c>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5" t="n"/>
      <c r="L18" s="105" t="n"/>
      <c r="M18" s="16" t="n"/>
      <c r="N18" s="164" t="n"/>
    </row>
    <row r="19" ht="210" customHeight="1">
      <c r="B19" s="163" t="n">
        <v>15</v>
      </c>
      <c r="C19" s="101" t="inlineStr">
        <is>
          <t>EUR, NAR</t>
        </is>
      </c>
      <c r="D19" s="101" t="inlineStr">
        <is>
          <t>High</t>
        </is>
      </c>
      <c r="E19" s="102" t="n">
        <v>5</v>
      </c>
      <c r="F19" s="16" t="inlineStr">
        <is>
          <t>Verify Bentley Customer Enrolment via vehicle code - PU exists (has remote access) - [Multiple Users]</t>
        </is>
      </c>
      <c r="G19" s="106" t="inlineStr">
        <is>
          <t>• User 1 is logged in to My Bentley account</t>
        </is>
      </c>
      <c r="H19" s="103" t="inlineStr">
        <is>
          <t>• User 1 (the account logged) in has a VIN linked to their account and another user (User 2) is already Primary User
• Privacy Mode is disabed in the vehicle HMI</t>
        </is>
      </c>
      <c r="I19" s="16" t="inlineStr">
        <is>
          <t>1. User 2 : Refresh the My Bentley app dashboard to display the latest status for this VIN
2. User 1 : Refresh the My Bentley app dashboard to display the latest status for this VIN
3. User 1 : Tap on 'Contact Support'</t>
        </is>
      </c>
      <c r="J19"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is>
      </c>
      <c r="K19" s="155" t="n"/>
      <c r="L19" s="105" t="n"/>
      <c r="M19" s="16" t="n"/>
      <c r="N19" s="164" t="n"/>
    </row>
    <row r="20" ht="360" customHeight="1">
      <c r="B20" s="163" t="n">
        <v>16</v>
      </c>
      <c r="C20" s="101" t="inlineStr">
        <is>
          <t>EUR, NAR</t>
        </is>
      </c>
      <c r="D20" s="101" t="inlineStr">
        <is>
          <t>Medium</t>
        </is>
      </c>
      <c r="E20" s="102" t="n">
        <v>5</v>
      </c>
      <c r="F20" s="16" t="inlineStr">
        <is>
          <t>Verify Bentley Customer Enrolment via vehicle code - PU exists (has renounced remote access via vehicle HMI) - [Multiple Users]</t>
        </is>
      </c>
      <c r="G20" s="106" t="inlineStr">
        <is>
          <t>• User 1 is logged in to My Bentley account</t>
        </is>
      </c>
      <c r="H20" s="103" t="inlineStr">
        <is>
          <t>• User 1 (the account logged) in has a VIN linked to their account and another user (User 2) is already Primary User
• Privacy Mode is disabed in the vehicle HMI</t>
        </is>
      </c>
      <c r="I20" s="16" t="inlineStr">
        <is>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is>
      </c>
      <c r="J20" s="16" t="inlineStr">
        <is>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is>
      </c>
      <c r="K20" s="155" t="n"/>
      <c r="L20" s="105" t="n"/>
      <c r="M20" s="16" t="n"/>
      <c r="N20" s="164" t="n"/>
    </row>
    <row r="21" ht="300" customHeight="1">
      <c r="B21" s="163" t="n">
        <v>17</v>
      </c>
      <c r="C21" s="101" t="inlineStr">
        <is>
          <t>EUR, NAR</t>
        </is>
      </c>
      <c r="D21" s="101" t="inlineStr">
        <is>
          <t>High</t>
        </is>
      </c>
      <c r="E21" s="102" t="n">
        <v>5</v>
      </c>
      <c r="F21" s="16" t="inlineStr">
        <is>
          <t>Verify Bentley Customer Enrolment via vehicle code - PU exists but deletes VIN (via app) - [Single User]</t>
        </is>
      </c>
      <c r="G21" s="103" t="inlineStr">
        <is>
          <t xml:space="preserve">• Logged in to My Bentley App with valid credentials
• Focus is in vehicle "DASHBOARD" screen of My Bentley App
</t>
        </is>
      </c>
      <c r="H21" s="103" t="inlineStr">
        <is>
          <t>• Vehicle already added in My Bentley App
• User has a VIN linked to their account with no Primary User nominated
• User has generated a vehicle code for this VIN
• Privacy Mode is disabed in the vehicle HMI</t>
        </is>
      </c>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5" t="n"/>
      <c r="L21" s="105" t="n"/>
      <c r="M21" s="16" t="n"/>
      <c r="N21" s="166" t="n"/>
    </row>
    <row r="22" ht="345" customHeight="1">
      <c r="B22" s="163" t="n">
        <v>18</v>
      </c>
      <c r="C22" s="101" t="inlineStr">
        <is>
          <t>EUR, NAR</t>
        </is>
      </c>
      <c r="D22" s="101" t="inlineStr">
        <is>
          <t>High</t>
        </is>
      </c>
      <c r="E22" s="102" t="n">
        <v>5</v>
      </c>
      <c r="F22" s="16" t="inlineStr">
        <is>
          <t>Verify Bentley Customer Enrolment via vehicle code - PU exists but deletes VIN (via app) - [Multiple Users]</t>
        </is>
      </c>
      <c r="G22" s="106" t="inlineStr">
        <is>
          <t>• User 1 is logged in to My Bentley account</t>
        </is>
      </c>
      <c r="H22" s="103" t="inlineStr">
        <is>
          <t>• User 1 (the account logged) in has a VIN linked to their account and another user (User 2) is already Primary User
• Privacy Mode is disabed in the vehicle HMI</t>
        </is>
      </c>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5" t="n"/>
      <c r="L22" s="105" t="n"/>
      <c r="M22" s="16" t="n"/>
      <c r="N22" s="166" t="n"/>
    </row>
    <row r="23" ht="330" customHeight="1">
      <c r="B23" s="163" t="n">
        <v>19</v>
      </c>
      <c r="C23" s="101" t="inlineStr">
        <is>
          <t>EUR, NAR</t>
        </is>
      </c>
      <c r="D23" s="101" t="inlineStr">
        <is>
          <t>Medium</t>
        </is>
      </c>
      <c r="E23" s="102" t="n">
        <v>5</v>
      </c>
      <c r="F23" s="16" t="inlineStr">
        <is>
          <t>Verify Bentley Customer Enrolment via vehicle code - PU exists but deletes app from mobile device - [Multiple Users]</t>
        </is>
      </c>
      <c r="G23" s="106" t="inlineStr">
        <is>
          <t>• User 1 is logged in to My Bentley account</t>
        </is>
      </c>
      <c r="H23" s="103" t="inlineStr">
        <is>
          <t>• User 1 (the account logged) in has a VIN linked to their account and another user (User 2) is already Primary User
• Privacy Mode is disabed in the vehicle HMI</t>
        </is>
      </c>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5" t="n"/>
      <c r="M23" s="16" t="n"/>
      <c r="N23" s="164" t="n"/>
    </row>
    <row r="24" ht="240" customHeight="1">
      <c r="B24" s="163" t="n">
        <v>20</v>
      </c>
      <c r="C24" s="101" t="inlineStr">
        <is>
          <t>EUR, NAR</t>
        </is>
      </c>
      <c r="D24" s="101" t="inlineStr">
        <is>
          <t>Low</t>
        </is>
      </c>
      <c r="E24" s="102" t="n">
        <v>5</v>
      </c>
      <c r="F24" s="16" t="inlineStr">
        <is>
          <t>Verify Bentley Customer Enrolment via vehicle code - How-to</t>
        </is>
      </c>
      <c r="G24" s="106" t="inlineStr">
        <is>
          <t>• User is logged in to My Bentley account</t>
        </is>
      </c>
      <c r="H24" s="103" t="inlineStr">
        <is>
          <t>• User has a VIN linked to their account with no Primary User nominated
• User has generated a vehicle code for this VIN
• Privacy Mode is disabed in the vehicle HMI</t>
        </is>
      </c>
      <c r="I24" s="16" t="inlineStr">
        <is>
          <t>1. Refresh the My Bentley app dashboard to display the latest status for this VIN
2. Tap on the 'VIEW VEHICLE CODE' button
3. Tap on the 'information i' icon</t>
        </is>
      </c>
      <c r="J24" s="16" t="inlineStr">
        <is>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is>
      </c>
      <c r="K24" s="155" t="n"/>
      <c r="L24" s="105" t="n"/>
      <c r="M24" s="16" t="n"/>
      <c r="N24" s="164" t="n"/>
    </row>
    <row r="25" ht="390" customHeight="1">
      <c r="B25" s="163" t="n">
        <v>21</v>
      </c>
      <c r="C25" s="101" t="inlineStr">
        <is>
          <t>EUR, NAR</t>
        </is>
      </c>
      <c r="D25" s="101" t="inlineStr">
        <is>
          <t>High</t>
        </is>
      </c>
      <c r="E25" s="102" t="n">
        <v>5</v>
      </c>
      <c r="F25" s="16" t="inlineStr">
        <is>
          <t>Verify 'VIEW VEHICLE CODE' button display for Bentley Customer Enrolment when user logout from IOS and login on Android or viceversa</t>
        </is>
      </c>
      <c r="G25" s="103" t="inlineStr">
        <is>
          <t>• Focus is in vehicle "DASHBOARD" screen of My Bentley App</t>
        </is>
      </c>
      <c r="H25"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5"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5"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5" s="155" t="n"/>
      <c r="L25" s="105" t="n"/>
      <c r="M25" s="16" t="n"/>
      <c r="N25" s="164" t="n"/>
    </row>
    <row r="26" ht="409.5" customHeight="1">
      <c r="B26" s="163" t="n">
        <v>22</v>
      </c>
      <c r="C26" s="101" t="inlineStr">
        <is>
          <t>EUR, NAR</t>
        </is>
      </c>
      <c r="D26" s="101" t="inlineStr">
        <is>
          <t>High</t>
        </is>
      </c>
      <c r="E26" s="102" t="n">
        <v>5</v>
      </c>
      <c r="F26" s="16" t="inlineStr">
        <is>
          <t>Verify validating the vehicle code displayed is identical in different platform of mobile devices</t>
        </is>
      </c>
      <c r="G26" s="103" t="inlineStr">
        <is>
          <t>• Focus is in vehicle "DASHBOARD" screen of My Bentley App</t>
        </is>
      </c>
      <c r="H26"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6"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6"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6" s="155" t="n"/>
      <c r="L26" s="105" t="n"/>
      <c r="M26" s="16" t="n"/>
      <c r="N26" s="164" t="n"/>
    </row>
    <row r="27" ht="409.5" customHeight="1">
      <c r="B27" s="163" t="n">
        <v>23</v>
      </c>
      <c r="C27" s="101" t="inlineStr">
        <is>
          <t>EUR, NAR</t>
        </is>
      </c>
      <c r="D27" s="101" t="inlineStr">
        <is>
          <t>High</t>
        </is>
      </c>
      <c r="E27" s="102" t="n">
        <v>5</v>
      </c>
      <c r="F27" s="103" t="inlineStr">
        <is>
          <t>Verify the new Bentley Customer Enrolment Process via vehicle code</t>
        </is>
      </c>
      <c r="G27" s="103" t="n"/>
      <c r="H27" s="103" t="inlineStr">
        <is>
          <t xml:space="preserve">• No user has ever generated a vehicle code for this VIN
• Privacy Mode is disabed in the vehicle HMI
</t>
        </is>
      </c>
      <c r="I27" s="103"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7" s="103"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7" s="155" t="n"/>
      <c r="L27" s="105" t="n"/>
      <c r="M27" s="16" t="n"/>
      <c r="N27" s="164" t="n"/>
    </row>
    <row r="28" ht="346.5" customHeight="1">
      <c r="B28" s="82" t="n">
        <v>24</v>
      </c>
      <c r="C28" s="83" t="inlineStr">
        <is>
          <t>CHN</t>
        </is>
      </c>
      <c r="D28" s="83" t="inlineStr">
        <is>
          <t>High</t>
        </is>
      </c>
      <c r="E28" s="84" t="n">
        <v>5</v>
      </c>
      <c r="F28" s="53" t="inlineStr">
        <is>
          <t>Verify the Customer Enrolment Process if RNR is unsuccessfull for a new Bentley Account</t>
        </is>
      </c>
      <c r="G28" s="79" t="inlineStr">
        <is>
          <t>• No Bentley User set up
• Privacy Mode is disabed in the vehicle HMI
• RNR check not approved by CCAT</t>
        </is>
      </c>
      <c r="H28" s="103" t="n"/>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8"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8" s="54" t="n"/>
      <c r="L28" s="51" t="n"/>
      <c r="M28" s="53" t="n"/>
      <c r="N28" s="110" t="n"/>
    </row>
    <row r="29" ht="409.5" customHeight="1">
      <c r="B29" s="82" t="n">
        <v>25</v>
      </c>
      <c r="C29" s="83" t="inlineStr">
        <is>
          <t>CHN</t>
        </is>
      </c>
      <c r="D29" s="83" t="inlineStr">
        <is>
          <t>High</t>
        </is>
      </c>
      <c r="E29" s="84" t="n">
        <v>5</v>
      </c>
      <c r="F29" s="53" t="inlineStr">
        <is>
          <t>Verify the Customer Enrolment Process if RNR is successful for a new Bentley Account</t>
        </is>
      </c>
      <c r="G29" s="79" t="n"/>
      <c r="H29" s="79" t="inlineStr">
        <is>
          <t>• No Bentley User set up
• Privacy Mode is disabed in the vehicle HMI
• RNR check approved by CCAT</t>
        </is>
      </c>
      <c r="I29"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9"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9" s="54" t="n"/>
      <c r="L29" s="51" t="n"/>
      <c r="M29" s="53" t="n"/>
      <c r="N29" s="110" t="n"/>
    </row>
    <row r="30" ht="393.75" customHeight="1">
      <c r="B30" s="82" t="n">
        <v>26</v>
      </c>
      <c r="C30" s="83" t="inlineStr">
        <is>
          <t>CHN</t>
        </is>
      </c>
      <c r="D30" s="83" t="inlineStr">
        <is>
          <t>High</t>
        </is>
      </c>
      <c r="E30" s="84" t="n">
        <v>5</v>
      </c>
      <c r="F30" s="53" t="inlineStr">
        <is>
          <t>Verify the Customer Enrolment Process if RNR is unsuccessfull for an existing Bentley Account</t>
        </is>
      </c>
      <c r="G30" s="79" t="n"/>
      <c r="H30" s="79" t="inlineStr">
        <is>
          <t xml:space="preserve">• My Bentley App Log In credentials available
• Privacy Mode is disabed in the vehicle HMI
•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30" s="133" t="n"/>
      <c r="L30" s="51" t="n"/>
      <c r="M30" s="133" t="n"/>
      <c r="N30" s="110" t="n"/>
    </row>
    <row r="31" ht="409.5" customHeight="1">
      <c r="B31" s="82" t="n">
        <v>27</v>
      </c>
      <c r="C31" s="83" t="inlineStr">
        <is>
          <t>CHN</t>
        </is>
      </c>
      <c r="D31" s="83" t="inlineStr">
        <is>
          <t>High</t>
        </is>
      </c>
      <c r="E31" s="84" t="n">
        <v>5</v>
      </c>
      <c r="F31" s="53" t="inlineStr">
        <is>
          <t>Verify the email confirmation received to the registered Bentley Account Email ID if RNR is unsuccessfull during the Customer Enrollment Process</t>
        </is>
      </c>
      <c r="G31" s="79" t="inlineStr">
        <is>
          <t>• My Bentley App Log In credentials available</t>
        </is>
      </c>
      <c r="H31" s="103" t="inlineStr">
        <is>
          <t xml:space="preserve">• Privacy Mode is disabed in the vehicle HMI
• RNR check not approved by CCAT
• Bentley Account has already have other vehicle added to it </t>
        </is>
      </c>
      <c r="I31"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1"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1" s="133" t="n"/>
      <c r="L31" s="51" t="n"/>
      <c r="M31" s="133" t="n"/>
      <c r="N31" s="110" t="n"/>
    </row>
    <row r="32" ht="409.5" customHeight="1">
      <c r="B32" s="82" t="n">
        <v>28</v>
      </c>
      <c r="C32" s="83" t="inlineStr">
        <is>
          <t>CHN</t>
        </is>
      </c>
      <c r="D32" s="83" t="inlineStr">
        <is>
          <t>High</t>
        </is>
      </c>
      <c r="E32" s="84" t="n">
        <v>5</v>
      </c>
      <c r="F32" s="53" t="inlineStr">
        <is>
          <t>Verify the Customer Enrolment Process if RNR is successfull for an existing Bentley Account</t>
        </is>
      </c>
      <c r="G32" s="79" t="inlineStr">
        <is>
          <t>• My Bentley App Log In credentials available</t>
        </is>
      </c>
      <c r="H32" s="103" t="inlineStr">
        <is>
          <t xml:space="preserve">• Privacy Mode is disabed in the vehicle HMI
• RNR check approved by CCAT
• Bentley Account has already have other vehicle added to it </t>
        </is>
      </c>
      <c r="I32"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2"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2" s="133" t="n"/>
      <c r="L32" s="51" t="n"/>
      <c r="M32" s="133" t="n"/>
      <c r="N32" s="110" t="n"/>
    </row>
    <row r="33" ht="393.75" customHeight="1">
      <c r="B33" s="82" t="n">
        <v>29</v>
      </c>
      <c r="C33" s="83" t="inlineStr">
        <is>
          <t>CHN</t>
        </is>
      </c>
      <c r="D33" s="83" t="inlineStr">
        <is>
          <t>High</t>
        </is>
      </c>
      <c r="E33" s="84" t="n">
        <v>5</v>
      </c>
      <c r="F33" s="53" t="inlineStr">
        <is>
          <t xml:space="preserve">Verify the Customer Enrolment Process when user has requested not to access the remote services during Real name Registration from submission </t>
        </is>
      </c>
      <c r="G33" s="79" t="inlineStr">
        <is>
          <t>• My Bentley App Log In credentials available</t>
        </is>
      </c>
      <c r="H33" s="103" t="inlineStr">
        <is>
          <t xml:space="preserve">• Privacy Mode is disabed in the vehicle HMI
• Customer elected not to access remote services during RNR form submission
• VIN Real Name Registered
• Bentley Account has already have other vehicle added to it </t>
        </is>
      </c>
      <c r="I33"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3"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3" s="133" t="n"/>
      <c r="L33" s="51" t="n"/>
      <c r="M33" s="133" t="n"/>
      <c r="N33" s="110" t="n"/>
    </row>
    <row r="34" ht="157.5" customHeight="1">
      <c r="B34" s="82" t="n">
        <v>30</v>
      </c>
      <c r="C34" s="83" t="inlineStr">
        <is>
          <t>CHN</t>
        </is>
      </c>
      <c r="D34" s="83" t="inlineStr">
        <is>
          <t>High</t>
        </is>
      </c>
      <c r="E34" s="84" t="n">
        <v>5</v>
      </c>
      <c r="F34" s="53" t="inlineStr">
        <is>
          <t>Verify 'SET YOUR SPIN' section for an existing Bentley Account</t>
        </is>
      </c>
      <c r="G34" s="79" t="inlineStr">
        <is>
          <t>• My Bentley App Log In credentials available</t>
        </is>
      </c>
      <c r="H34" s="103" t="inlineStr">
        <is>
          <t>• Privacy Mode is disabed in the vehicle HMI
• RNR check approved by CCAT
• VIN / Vehicle added to Bentley Account</t>
        </is>
      </c>
      <c r="I34"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4" s="53" t="inlineStr">
        <is>
          <t>* [Log In to Bentley ID] : 
1. Log In to Bentley ID should be successfull and focus is in vehicle 'DASHBOARD' screen
* [Set Your SPIN] : 
2. 'SET YOUR PIN' section along with 'SET PIN' button should not be displayed under 'DASHBOARD' screen of My Bentley App</t>
        </is>
      </c>
      <c r="K34" s="54" t="n"/>
      <c r="L34" s="51" t="n"/>
      <c r="M34" s="53" t="n"/>
      <c r="N34" s="110" t="n"/>
    </row>
    <row r="35" ht="252" customHeight="1">
      <c r="B35" s="82" t="n">
        <v>31</v>
      </c>
      <c r="C35" s="83" t="inlineStr">
        <is>
          <t>CHN</t>
        </is>
      </c>
      <c r="D35" s="83" t="inlineStr">
        <is>
          <t>High</t>
        </is>
      </c>
      <c r="E35" s="84" t="n">
        <v>5</v>
      </c>
      <c r="F35" s="53" t="inlineStr">
        <is>
          <t>Verify My Bentley App status when Primary User is removed from Vehicle Bentley's infotainment system</t>
        </is>
      </c>
      <c r="G35" s="79" t="inlineStr">
        <is>
          <t>• My Bentley App Log In credentials available</t>
        </is>
      </c>
      <c r="H35" s="103" t="inlineStr">
        <is>
          <t>• Privacy Mode is disabed in the vehicle HMI
• RNR check approved by CCAT
• VIN / Vehicle added to Bentley Account</t>
        </is>
      </c>
      <c r="I35"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5"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5" s="54" t="n"/>
      <c r="L35" s="51" t="n"/>
      <c r="M35" s="53" t="n"/>
      <c r="N35" s="110" t="n"/>
    </row>
    <row r="36" ht="330.75" customHeight="1">
      <c r="B36" s="82" t="n">
        <v>32</v>
      </c>
      <c r="C36" s="83" t="inlineStr">
        <is>
          <t>CHN</t>
        </is>
      </c>
      <c r="D36" s="83" t="inlineStr">
        <is>
          <t>High</t>
        </is>
      </c>
      <c r="E36" s="84" t="n">
        <v>5</v>
      </c>
      <c r="F36" s="53" t="inlineStr">
        <is>
          <t>Verify 'Set Primary User' option under 'User Settings' screen after Primary User is removed from Vehicle Bentley's infotainment system</t>
        </is>
      </c>
      <c r="G36" s="79" t="inlineStr">
        <is>
          <t>• My Bentley App Log In credentials available</t>
        </is>
      </c>
      <c r="H36" s="103" t="inlineStr">
        <is>
          <t>• Privacy Mode is disabed in the vehicle HMI
• RNR check approved by CCAT
• VIN / Vehicle added to Bentley Account</t>
        </is>
      </c>
      <c r="I36"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6"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6" s="54" t="n"/>
      <c r="L36" s="51" t="n"/>
      <c r="M36" s="53" t="n"/>
      <c r="N36" s="110" t="n"/>
    </row>
    <row r="37" ht="409.5" customHeight="1">
      <c r="B37" s="50" t="n">
        <v>33</v>
      </c>
      <c r="C37" s="51" t="inlineStr">
        <is>
          <t>CHN</t>
        </is>
      </c>
      <c r="D37" s="51" t="inlineStr">
        <is>
          <t>Medium</t>
        </is>
      </c>
      <c r="E37" s="84" t="n">
        <v>5</v>
      </c>
      <c r="F37" s="53" t="inlineStr">
        <is>
          <t>Verify requesting Call Centre Agent to activate My Bentley App Remote Services after Primary User is removed from Vehicle Bentley's infotainment system</t>
        </is>
      </c>
      <c r="G37" s="79" t="inlineStr">
        <is>
          <t>• My Bentley App Log In credentials available</t>
        </is>
      </c>
      <c r="H37" s="103" t="inlineStr">
        <is>
          <t>• Privacy Mode is disabed in the vehicle HMI
• RNR check approved by CCAT
• VIN / Vehicle added to Bentley Account</t>
        </is>
      </c>
      <c r="I37"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7"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7" s="54" t="n"/>
      <c r="L37" s="51" t="n"/>
      <c r="M37" s="53" t="n"/>
      <c r="N37" s="110" t="n"/>
    </row>
    <row r="38" ht="378" customHeight="1">
      <c r="B38" s="82" t="n">
        <v>34</v>
      </c>
      <c r="C38" s="83" t="inlineStr">
        <is>
          <t>CHN</t>
        </is>
      </c>
      <c r="D38" s="83" t="inlineStr">
        <is>
          <t>High</t>
        </is>
      </c>
      <c r="E38" s="84" t="n">
        <v>5</v>
      </c>
      <c r="F38" s="53" t="inlineStr">
        <is>
          <t>Verify Forgotten my PIN reset from My Bentley App removes Primary User from Vehicle Bentley's infotainment system.</t>
        </is>
      </c>
      <c r="G38" s="53" t="inlineStr">
        <is>
          <t>• Log in credentials to My Bentley App available</t>
        </is>
      </c>
      <c r="H38" s="103" t="inlineStr">
        <is>
          <t>• RNR check approved by CCAT
• Vehicle already added in My Bentley App
• User has a VIN linked to their account with Primary User nominated
• Privacy Mode is disabed in the vehicle HMI</t>
        </is>
      </c>
      <c r="I38"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8"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8" s="54" t="n"/>
      <c r="L38" s="51" t="n"/>
      <c r="M38" s="53" t="n"/>
      <c r="N38" s="110" t="n"/>
    </row>
    <row r="39" ht="267.75" customHeight="1">
      <c r="B39" s="82" t="n">
        <v>35</v>
      </c>
      <c r="C39" s="83" t="inlineStr">
        <is>
          <t>CHN</t>
        </is>
      </c>
      <c r="D39" s="83" t="inlineStr">
        <is>
          <t>Medium</t>
        </is>
      </c>
      <c r="E39" s="84" t="n">
        <v>5</v>
      </c>
      <c r="F39" s="53" t="inlineStr">
        <is>
          <t>Verify My Bentley App status when the current user with Primary User nominated is deleted from Vehicle Bentley's infotainment system</t>
        </is>
      </c>
      <c r="G39" s="79" t="inlineStr">
        <is>
          <t>• My Bentley App Log In credentials available</t>
        </is>
      </c>
      <c r="H39" s="103" t="inlineStr">
        <is>
          <t>• Privacy Mode is disabed in the vehicle HMI
• RNR check approved by CCAT
• VIN / Vehicle added to Bentley Account</t>
        </is>
      </c>
      <c r="I39"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9"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9" s="54" t="n"/>
      <c r="L39" s="51" t="n"/>
      <c r="M39" s="53" t="n"/>
      <c r="N39" s="110" t="n"/>
    </row>
    <row r="40" ht="252" customHeight="1">
      <c r="B40" s="82" t="n">
        <v>36</v>
      </c>
      <c r="C40" s="83" t="inlineStr">
        <is>
          <t>CHN</t>
        </is>
      </c>
      <c r="D40" s="83" t="inlineStr">
        <is>
          <t>Medium</t>
        </is>
      </c>
      <c r="E40" s="84" t="n">
        <v>5</v>
      </c>
      <c r="F40" s="53" t="inlineStr">
        <is>
          <t>Verify Primary User in vehicle HMI when VIN / Vehicle is deleted from My Bentley App</t>
        </is>
      </c>
      <c r="G40" s="53" t="inlineStr">
        <is>
          <t>• Log in credentials to My Bentley App available</t>
        </is>
      </c>
      <c r="H40" s="103" t="inlineStr">
        <is>
          <t>• RNR check approved by CCAT
• Vehicle already added in My Bentley App
• User has a VIN linked to their account with Primary User nominated
• Privacy Mode is disabed in the vehicle HMI</t>
        </is>
      </c>
      <c r="I40"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40" s="54" t="n"/>
      <c r="L40" s="51" t="n"/>
      <c r="M40" s="53" t="n"/>
      <c r="N40" s="110" t="n"/>
    </row>
    <row r="41" ht="409.5" customHeight="1">
      <c r="B41" s="82" t="n">
        <v>37</v>
      </c>
      <c r="C41" s="83" t="inlineStr">
        <is>
          <t>CHN</t>
        </is>
      </c>
      <c r="D41" s="83" t="inlineStr">
        <is>
          <t>Medium</t>
        </is>
      </c>
      <c r="E41" s="84" t="n">
        <v>5</v>
      </c>
      <c r="F41" s="53" t="inlineStr">
        <is>
          <t>Verify readding the VIN after deleting it from My Bentley App</t>
        </is>
      </c>
      <c r="G41" s="53" t="inlineStr">
        <is>
          <t>• Log in credentials to My Bentley App available</t>
        </is>
      </c>
      <c r="H41" s="103" t="inlineStr">
        <is>
          <t>• RNR check approved by CCAT
• Vehicle already added in My Bentley App
• User has a VIN linked to their account with Primary User nominated
• Privacy Mode is disabed in the vehicle HMI</t>
        </is>
      </c>
      <c r="I41"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1"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1" s="54" t="n"/>
      <c r="L41" s="51" t="n"/>
      <c r="M41" s="53" t="n"/>
      <c r="N41" s="110" t="n"/>
    </row>
    <row r="42" ht="409.5" customHeight="1">
      <c r="B42" s="82" t="n">
        <v>38</v>
      </c>
      <c r="C42" s="83" t="inlineStr">
        <is>
          <t>CHN</t>
        </is>
      </c>
      <c r="D42" s="83" t="inlineStr">
        <is>
          <t>Medium</t>
        </is>
      </c>
      <c r="E42" s="84" t="n">
        <v>5</v>
      </c>
      <c r="F42" s="53" t="inlineStr">
        <is>
          <t>Verify adding the same VIN to multiple account</t>
        </is>
      </c>
      <c r="G42" s="53" t="inlineStr">
        <is>
          <t>• Log in credentials to My Bentley App available</t>
        </is>
      </c>
      <c r="H42" s="103" t="inlineStr">
        <is>
          <t>• RNR check approved by CCAT
• Privacy Mode is disabed in the vehicle HMI
• 'USER-1' has a VIN linked to their account with Primary User nominated
• 'USER-2' has a no VIN linked to their account</t>
        </is>
      </c>
      <c r="I42"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2"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2" s="54" t="n"/>
      <c r="L42" s="51" t="n"/>
      <c r="M42" s="53" t="n"/>
      <c r="N42" s="110" t="n"/>
    </row>
    <row r="43" ht="409.5" customHeight="1">
      <c r="B43" s="82" t="n">
        <v>39</v>
      </c>
      <c r="C43" s="83" t="inlineStr">
        <is>
          <t>CHN</t>
        </is>
      </c>
      <c r="D43" s="83" t="inlineStr">
        <is>
          <t>Medium</t>
        </is>
      </c>
      <c r="E43" s="84" t="n">
        <v>5</v>
      </c>
      <c r="F43" s="53" t="inlineStr">
        <is>
          <t>Verify requesting Call Centre Agent to activate the newly added user as the Primary User</t>
        </is>
      </c>
      <c r="G43" s="53" t="inlineStr">
        <is>
          <t>• Log in credentials to My Bentley App available</t>
        </is>
      </c>
      <c r="H43" s="103" t="inlineStr">
        <is>
          <t>• RNR check approved by CCAT
• Privacy Mode is disabed in the vehicle HMI
• 'USER-1' has a VIN linked to their account with Primary User nominated
• 'USER-2' has VIN linked to their account but not Primary User</t>
        </is>
      </c>
      <c r="I43"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3"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3" s="54" t="n"/>
      <c r="L43" s="51" t="n"/>
      <c r="M43" s="53" t="n"/>
      <c r="N43" s="110" t="n"/>
    </row>
    <row r="44" ht="32.25" customFormat="1" customHeight="1" s="89" thickBot="1">
      <c r="A44" s="91" t="n"/>
      <c r="B44" s="109" t="n">
        <v>40</v>
      </c>
      <c r="C44" s="92" t="inlineStr">
        <is>
          <t>EUR, NAR, CHN</t>
        </is>
      </c>
      <c r="D44" s="92" t="inlineStr">
        <is>
          <t>Low</t>
        </is>
      </c>
      <c r="E44" s="93" t="n">
        <v>10</v>
      </c>
      <c r="F44" s="94" t="inlineStr">
        <is>
          <t>Verify all the screen with Bentley style guide.</t>
        </is>
      </c>
      <c r="G44" s="94" t="inlineStr">
        <is>
          <t>• N/A</t>
        </is>
      </c>
      <c r="H44" s="103" t="n"/>
      <c r="I44" s="94" t="inlineStr">
        <is>
          <t>Observe all the screen's icon, font, colour</t>
        </is>
      </c>
      <c r="J44" s="94" t="inlineStr">
        <is>
          <t>All the icon, font, colour should be followed as per Bentley style guide.</t>
        </is>
      </c>
      <c r="K44" s="94" t="n"/>
      <c r="L44" s="96" t="n"/>
      <c r="M44" s="94" t="n"/>
      <c r="N44" s="97" t="n"/>
    </row>
  </sheetData>
  <mergeCells count="2">
    <mergeCell ref="F3:M3"/>
    <mergeCell ref="B2:M2"/>
  </mergeCells>
  <conditionalFormatting sqref="K7:L22">
    <cfRule type="cellIs" priority="49" operator="equal" dxfId="0">
      <formula>"Pass"</formula>
    </cfRule>
    <cfRule type="cellIs" priority="48" operator="equal" dxfId="1">
      <formula>"Fail"</formula>
    </cfRule>
    <cfRule type="cellIs" priority="47" operator="equal" dxfId="2">
      <formula>"Blocked"</formula>
    </cfRule>
    <cfRule type="cellIs" priority="46" operator="equal" dxfId="3">
      <formula>"In-Progress"</formula>
    </cfRule>
    <cfRule type="cellIs" priority="44" operator="equal" dxfId="5">
      <formula>"N/A"</formula>
    </cfRule>
    <cfRule type="cellIs" priority="43" operator="equal" dxfId="6">
      <formula>"Cancelled"</formula>
    </cfRule>
    <cfRule type="cellIs" priority="45" operator="equal" dxfId="4">
      <formula>"Pass"</formula>
    </cfRule>
  </conditionalFormatting>
  <conditionalFormatting sqref="K24:L29">
    <cfRule type="cellIs" priority="39" operator="equal" dxfId="3">
      <formula>"In-Progress"</formula>
    </cfRule>
    <cfRule type="cellIs" priority="42" operator="equal" dxfId="0">
      <formula>"Pass"</formula>
    </cfRule>
    <cfRule type="cellIs" priority="41" operator="equal" dxfId="1">
      <formula>"Fail"</formula>
    </cfRule>
    <cfRule type="cellIs" priority="40" operator="equal" dxfId="2">
      <formula>"Blocked"</formula>
    </cfRule>
    <cfRule type="cellIs" priority="36" operator="equal" dxfId="6">
      <formula>"Cancelled"</formula>
    </cfRule>
    <cfRule type="cellIs" priority="37" operator="equal" dxfId="5">
      <formula>"N/A"</formula>
    </cfRule>
    <cfRule type="cellIs" priority="38" operator="equal" dxfId="4">
      <formula>"Pass"</formula>
    </cfRule>
  </conditionalFormatting>
  <conditionalFormatting sqref="K34:L43">
    <cfRule type="cellIs" priority="13" operator="equal" dxfId="1">
      <formula>"Fail"</formula>
    </cfRule>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L5:L6">
    <cfRule type="cellIs" priority="52" operator="equal" dxfId="4">
      <formula>"Pass"</formula>
    </cfRule>
    <cfRule type="cellIs" priority="51" operator="equal" dxfId="5">
      <formula>"N/A"</formula>
    </cfRule>
    <cfRule type="cellIs" priority="50" operator="equal" dxfId="6">
      <formula>"Cancelled"</formula>
    </cfRule>
    <cfRule type="cellIs" priority="53" operator="equal" dxfId="3">
      <formula>"In-Progress"</formula>
    </cfRule>
    <cfRule type="cellIs" priority="54" operator="equal" dxfId="2">
      <formula>"Blocked"</formula>
    </cfRule>
    <cfRule type="cellIs" priority="55" operator="equal" dxfId="1">
      <formula>"Fail"</formula>
    </cfRule>
    <cfRule type="cellIs" priority="56" operator="equal" dxfId="0">
      <formula>"Pass"</formula>
    </cfRule>
  </conditionalFormatting>
  <conditionalFormatting sqref="L23">
    <cfRule type="cellIs" priority="85" operator="equal" dxfId="6">
      <formula>"Cancelled"</formula>
    </cfRule>
    <cfRule type="cellIs" priority="86" operator="equal" dxfId="5">
      <formula>"N/A"</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30:L33">
    <cfRule type="cellIs" priority="21" operator="equal" dxfId="0">
      <formula>"Pass"</formula>
    </cfRule>
    <cfRule type="cellIs" priority="20" operator="equal" dxfId="1">
      <formula>"Fail"</formula>
    </cfRule>
    <cfRule type="cellIs" priority="18" operator="equal" dxfId="3">
      <formula>"In-Progress"</formula>
    </cfRule>
    <cfRule type="cellIs" priority="17" operator="equal" dxfId="4">
      <formula>"Pass"</formula>
    </cfRule>
    <cfRule type="cellIs" priority="16" operator="equal" dxfId="5">
      <formula>"N/A"</formula>
    </cfRule>
    <cfRule type="cellIs" priority="19" operator="equal" dxfId="2">
      <formula>"Blocked"</formula>
    </cfRule>
    <cfRule type="cellIs" priority="15" operator="equal" dxfId="6">
      <formula>"Cancelled"</formula>
    </cfRule>
  </conditionalFormatting>
  <conditionalFormatting sqref="L44">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fRule type="cellIs" priority="7" operator="equal" dxfId="0">
      <formula>"Pass"</formula>
    </cfRule>
    <cfRule type="cellIs" priority="6" operator="equal" dxfId="1">
      <formula>"Fail"</formula>
    </cfRule>
    <cfRule type="cellIs" priority="5" operator="equal" dxfId="2">
      <formula>"Blocked"</formula>
    </cfRule>
  </conditionalFormatting>
  <dataValidations count="1">
    <dataValidation sqref="L5:L4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21"/>
  <sheetViews>
    <sheetView topLeftCell="B16" zoomScale="60" zoomScaleNormal="60" workbookViewId="0">
      <selection activeCell="J19" sqref="J19"/>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78.28515625" customWidth="1" style="2" min="8" max="8"/>
    <col width="57" customWidth="1" style="1" min="9" max="9"/>
    <col width="45"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Add VIN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45" customHeight="1">
      <c r="B5" s="146" t="n">
        <v>1</v>
      </c>
      <c r="C5" s="147" t="inlineStr">
        <is>
          <t>EUR, NAR, CHN</t>
        </is>
      </c>
      <c r="D5" s="147" t="inlineStr">
        <is>
          <t>High</t>
        </is>
      </c>
      <c r="E5" s="148">
        <f>(10+10+5)/3</f>
        <v/>
      </c>
      <c r="F5" s="120" t="inlineStr">
        <is>
          <t>Verify manual VIN adding after creating a new Bentley Account on My Bentley App</t>
        </is>
      </c>
      <c r="G5" s="149" t="inlineStr">
        <is>
          <t>• No Bentley ID Account avaialable</t>
        </is>
      </c>
      <c r="H5" s="111" t="n"/>
      <c r="I5" s="150" t="inlineStr">
        <is>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1" t="inlineStr">
        <is>
          <t>1. The customer should be able to manually add the VIN to the respective freshly created Bentley Account successfully
( i.e. The recently added VIN / Vehicle should be seen in My Bentley App )</t>
        </is>
      </c>
      <c r="K5" s="119" t="n"/>
      <c r="L5" s="152" t="n"/>
      <c r="M5" s="153" t="n"/>
      <c r="N5" s="154" t="n"/>
    </row>
    <row r="6" ht="390" customHeight="1">
      <c r="B6" s="82" t="n">
        <v>2</v>
      </c>
      <c r="C6" s="83" t="inlineStr">
        <is>
          <t>EUR, NAR, CHN</t>
        </is>
      </c>
      <c r="D6" s="83" t="inlineStr">
        <is>
          <t>High</t>
        </is>
      </c>
      <c r="E6" s="84">
        <f>(10+10+5)/3</f>
        <v/>
      </c>
      <c r="F6" s="79" t="inlineStr">
        <is>
          <t>Verify adding VIN via 'Optical Character Recognition(OCR)' after creating a new Bentley Account on My Bentley App</t>
        </is>
      </c>
      <c r="G6" s="111" t="inlineStr">
        <is>
          <t>• No Bentley ID Account avaialable</t>
        </is>
      </c>
      <c r="H6" s="111" t="n"/>
      <c r="I6" s="128" t="inlineStr">
        <is>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6" s="130" t="inlineStr">
        <is>
          <t>1. The customer should be able to add the VIN via 'Optical Character Recognition(OCR)' to the respective freshly created Bentley Account successfully
( i.e. The recently added VIN / Vehicle should be seen in My Bentley App )</t>
        </is>
      </c>
      <c r="K6" s="79" t="n"/>
      <c r="L6" s="86" t="n"/>
      <c r="M6" s="87" t="n"/>
      <c r="N6" s="90" t="n"/>
    </row>
    <row r="7" ht="300" customHeight="1">
      <c r="B7" s="82" t="n">
        <v>3</v>
      </c>
      <c r="C7" s="83" t="inlineStr">
        <is>
          <t>EUR, NAR, CHN</t>
        </is>
      </c>
      <c r="D7" s="83" t="inlineStr">
        <is>
          <t>High</t>
        </is>
      </c>
      <c r="E7" s="84">
        <f>(5+5+5)/3</f>
        <v/>
      </c>
      <c r="F7" s="79" t="inlineStr">
        <is>
          <t>Verify manual adding of an Valid VIN via 'ADD A VEHICLE' screen</t>
        </is>
      </c>
      <c r="G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1" t="n"/>
      <c r="I7" s="128"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7" s="130" t="inlineStr">
        <is>
          <t>1. The customer should be able to add the VIN via manual entry to the respective Bentley Account successfully
( i.e. The recently added VIN / Vehicle should be seen in My Bentley App )</t>
        </is>
      </c>
      <c r="K7" s="79" t="n"/>
      <c r="L7" s="86" t="n"/>
      <c r="M7" s="87" t="n"/>
      <c r="N7" s="88" t="n"/>
    </row>
    <row r="8" ht="195" customHeight="1">
      <c r="B8" s="82" t="n">
        <v>4</v>
      </c>
      <c r="C8" s="83" t="inlineStr">
        <is>
          <t>EUR, NAR, CHN</t>
        </is>
      </c>
      <c r="D8" s="83" t="inlineStr">
        <is>
          <t>Low</t>
        </is>
      </c>
      <c r="E8" s="84">
        <f>(3+3+2)/3</f>
        <v/>
      </c>
      <c r="F8" s="79" t="inlineStr">
        <is>
          <t>Verify 'VIN already registered to account msg' displayed when user tries to enter the already added VIN to Bentley Account under VIN field</t>
        </is>
      </c>
      <c r="G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1" t="inlineStr">
        <is>
          <t>• VIN already added to Bentley Account</t>
        </is>
      </c>
      <c r="I8" s="128"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8" s="130" t="inlineStr">
        <is>
          <t>1. Message 'VIN already registered to account msg' should be displayed to user under 'VIN' section</t>
        </is>
      </c>
      <c r="K8" s="79" t="n"/>
      <c r="L8" s="86" t="n"/>
      <c r="M8" s="87" t="n"/>
      <c r="N8" s="88" t="n"/>
    </row>
    <row r="9" ht="165" customHeight="1">
      <c r="B9" s="82" t="n">
        <v>5</v>
      </c>
      <c r="C9" s="83" t="inlineStr">
        <is>
          <t>EUR, NAR, CHN</t>
        </is>
      </c>
      <c r="D9" s="83" t="inlineStr">
        <is>
          <t>Low</t>
        </is>
      </c>
      <c r="E9" s="84">
        <f>(3+2+2)/3</f>
        <v/>
      </c>
      <c r="F9" s="79" t="inlineStr">
        <is>
          <t>Verify manual adding of an Invalid VIN via 'ADD A VEHICLE' screen</t>
        </is>
      </c>
      <c r="G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9" s="111" t="n"/>
      <c r="I9" s="128"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9" s="130" t="inlineStr">
        <is>
          <t>1. Message 'Invalid VIN : Please add valid VIN Information' should be displayed to user under 'VIN' section</t>
        </is>
      </c>
      <c r="K9" s="79" t="n"/>
      <c r="L9" s="86" t="n"/>
      <c r="M9" s="87" t="n"/>
      <c r="N9" s="88" t="n"/>
    </row>
    <row r="10" ht="173.25" customHeight="1">
      <c r="B10" s="82" t="n">
        <v>6</v>
      </c>
      <c r="C10" s="83" t="inlineStr">
        <is>
          <t>EUR, NAR, CHN</t>
        </is>
      </c>
      <c r="D10" s="83" t="inlineStr">
        <is>
          <t>High</t>
        </is>
      </c>
      <c r="E10" s="84">
        <f>(3+2+3)/3</f>
        <v/>
      </c>
      <c r="F10" s="79" t="inlineStr">
        <is>
          <t>Verify validating 'ADD A VEHICLE' screen in My Bentley App</t>
        </is>
      </c>
      <c r="G10"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0" s="111" t="n"/>
      <c r="I10" s="128" t="inlineStr">
        <is>
          <t>Validate  'ADD A VEHICLE' Screen : 
1. In 'ADD A VEHICLE' screen, Check for the options</t>
        </is>
      </c>
      <c r="J10" s="130"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10" s="79" t="n"/>
      <c r="L10" s="86" t="n"/>
      <c r="M10" s="87" t="n"/>
      <c r="N10" s="88" t="n"/>
    </row>
    <row r="11" ht="169.5" customHeight="1">
      <c r="B11" s="82" t="n">
        <v>7</v>
      </c>
      <c r="C11" s="83" t="inlineStr">
        <is>
          <t>EUR, NAR, CHN</t>
        </is>
      </c>
      <c r="D11" s="83" t="inlineStr">
        <is>
          <t>High</t>
        </is>
      </c>
      <c r="E11" s="84">
        <f>(5+3+3)/3</f>
        <v/>
      </c>
      <c r="F11" s="79" t="inlineStr">
        <is>
          <t>Verify validating camera when 'Open Camera' Link option selected from ADD A VEHICLE screen in My Bentley App</t>
        </is>
      </c>
      <c r="G11"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1" s="111" t="n"/>
      <c r="I11" s="128" t="inlineStr">
        <is>
          <t xml:space="preserve">Validate  'ADD A VEHICLE' Screen : 
1. In 'ADD A VEHICLE' screen, Click on 'Open Camera' Link and observe
</t>
        </is>
      </c>
      <c r="J11" s="130" t="inlineStr">
        <is>
          <t xml:space="preserve">1. Clicking on 'Open Camera' Link in 'ADD A VEHICLE' screen should launch camera displaying
a. Virtual Box to centre the VIN for capturing via camera
b. Message : Centre your VIN in the box above
c. Flash button </t>
        </is>
      </c>
      <c r="K11" s="79" t="n"/>
      <c r="L11" s="86" t="n"/>
      <c r="M11" s="87" t="n"/>
      <c r="N11" s="88" t="n"/>
    </row>
    <row r="12" ht="168" customHeight="1">
      <c r="B12" s="82" t="n">
        <v>8</v>
      </c>
      <c r="C12" s="83" t="inlineStr">
        <is>
          <t>EUR, NAR, CHN</t>
        </is>
      </c>
      <c r="D12" s="83" t="inlineStr">
        <is>
          <t>Medium</t>
        </is>
      </c>
      <c r="E12" s="84">
        <f>(3+2+2)/3</f>
        <v/>
      </c>
      <c r="F12" s="79" t="inlineStr">
        <is>
          <t>Verify capturing VIN when via Camera [ Flash = Off ]</t>
        </is>
      </c>
      <c r="G12"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2" s="111" t="n"/>
      <c r="I12" s="128" t="inlineStr">
        <is>
          <t xml:space="preserve">Validate  'ADD A VEHICLE' Screen :  
1. In 'ADD A VEHICLE' screen, Click on 'Open Camera' Link
2. Flash = Off
3. Centre focus the VIN in the virtual box in Camera and capture the photo
</t>
        </is>
      </c>
      <c r="J12" s="130" t="inlineStr">
        <is>
          <t>1. Clicking on 'Open Camera' Link in 'ADD A VEHICLE' screen should launch camera
2. Flash is not enabled
3. VIN should be successfully captured without flash via camera and should be successfully added to VIN field</t>
        </is>
      </c>
      <c r="K12" s="79" t="n"/>
      <c r="L12" s="86" t="n"/>
      <c r="M12" s="87" t="n"/>
      <c r="N12" s="88" t="n"/>
    </row>
    <row r="13" ht="171.75" customHeight="1">
      <c r="B13" s="82" t="n">
        <v>9</v>
      </c>
      <c r="C13" s="83" t="inlineStr">
        <is>
          <t>EUR, NAR, CHN</t>
        </is>
      </c>
      <c r="D13" s="83" t="inlineStr">
        <is>
          <t>Medium</t>
        </is>
      </c>
      <c r="E13" s="84">
        <f>(3+2+2)/3</f>
        <v/>
      </c>
      <c r="F13" s="79" t="inlineStr">
        <is>
          <t>Verify capturing VIN when via Camera [ Flash = On ]</t>
        </is>
      </c>
      <c r="G13"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3" s="111" t="n"/>
      <c r="I13" s="128" t="inlineStr">
        <is>
          <t xml:space="preserve">Validate  'ADD A VEHICLE' Screen : 
1. In 'ADD A VEHICLE' screen, Click on 'Open Camera' Link
2. Flash = On
3. Centre focus the VIN in the virtual box in Camera and capture the photo
</t>
        </is>
      </c>
      <c r="J13" s="130" t="inlineStr">
        <is>
          <t>1. Clicking on 'Open Camera' Link in 'ADD A VEHICLE' screen should launch camera
2. Flash is enabled
3. VIN should be successfully captured with flash via camera and should be successfully added to VIN field</t>
        </is>
      </c>
      <c r="K13" s="79" t="n"/>
      <c r="L13" s="86" t="n"/>
      <c r="M13" s="87" t="n"/>
      <c r="N13" s="88" t="n"/>
    </row>
    <row r="14" ht="360" customHeight="1">
      <c r="A14" s="2" t="n"/>
      <c r="B14" s="82" t="n">
        <v>10</v>
      </c>
      <c r="C14" s="83" t="inlineStr">
        <is>
          <t>EUR, NAR, CHN</t>
        </is>
      </c>
      <c r="D14" s="83" t="inlineStr">
        <is>
          <t>High</t>
        </is>
      </c>
      <c r="E14" s="84">
        <f>(3+2+3)/3</f>
        <v/>
      </c>
      <c r="F14" s="79" t="inlineStr">
        <is>
          <t>Verify adding VIN in 'ADD A VEHICLE' Screen via Optical Character Recognition(OCR) when permission to access camera is given to My Bentley App</t>
        </is>
      </c>
      <c r="G14"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4" s="111" t="n"/>
      <c r="I14" s="128"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4" s="130" t="inlineStr">
        <is>
          <t>1. The customer should be able to add the VIN via Optical Character Recognition(OCR) to the respective Bentley Account successfully(i.e. The VIN / Vehicle should be seen in My Bentley App)</t>
        </is>
      </c>
      <c r="K14" s="79" t="n"/>
      <c r="L14" s="86" t="n"/>
      <c r="M14" s="87" t="n"/>
      <c r="N14" s="88" t="n"/>
    </row>
    <row r="15" ht="405" customHeight="1">
      <c r="B15" s="82" t="n">
        <v>11</v>
      </c>
      <c r="C15" s="83" t="inlineStr">
        <is>
          <t>EUR, NAR, CHN</t>
        </is>
      </c>
      <c r="D15" s="83" t="inlineStr">
        <is>
          <t>Medium</t>
        </is>
      </c>
      <c r="E15" s="84">
        <f>(3+2+3)/3</f>
        <v/>
      </c>
      <c r="F15" s="79" t="inlineStr">
        <is>
          <t>Verify adding VIN in 'ADD A VEHICLE' Screen via Optical Character Recognition(OCR) when permission to access camera is not given to My Bentley App</t>
        </is>
      </c>
      <c r="G15"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5" s="111" t="n"/>
      <c r="I15" s="128"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5" s="130"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5" s="79" t="n"/>
      <c r="L15" s="86" t="n"/>
      <c r="M15" s="87" t="n"/>
      <c r="N15" s="88" t="n"/>
    </row>
    <row r="16" ht="195" customHeight="1">
      <c r="B16" s="82" t="n">
        <v>12</v>
      </c>
      <c r="C16" s="83" t="inlineStr">
        <is>
          <t>EUR, NAR, CHN</t>
        </is>
      </c>
      <c r="D16" s="83" t="inlineStr">
        <is>
          <t>Medium</t>
        </is>
      </c>
      <c r="E16" s="84">
        <f>(5+3+3)/3</f>
        <v/>
      </c>
      <c r="F16" s="79" t="inlineStr">
        <is>
          <t>Verify clicking on 'Go to settings' link in 'ADD A VEHICLE' screen takes to respective phone settings screen</t>
        </is>
      </c>
      <c r="G16"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6" s="111" t="n"/>
      <c r="I16" s="128" t="inlineStr">
        <is>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is>
      </c>
      <c r="J16" s="130" t="inlineStr">
        <is>
          <t>1. The screen focus in mobile device should take to 'MY BENTLEY - Allow My Bentley to Access' Settings screen where user can give access to camera</t>
        </is>
      </c>
      <c r="K16" s="79" t="n"/>
      <c r="L16" s="86" t="n"/>
      <c r="M16" s="87" t="n"/>
      <c r="N16" s="88" t="n"/>
    </row>
    <row r="17" ht="172.5" customHeight="1">
      <c r="B17" s="82" t="n">
        <v>13</v>
      </c>
      <c r="C17" s="83" t="inlineStr">
        <is>
          <t>EUR, NAR, CHN</t>
        </is>
      </c>
      <c r="D17" s="83" t="inlineStr">
        <is>
          <t>High</t>
        </is>
      </c>
      <c r="E17" s="84">
        <f>(3+2+3)/3</f>
        <v/>
      </c>
      <c r="F17" s="79" t="inlineStr">
        <is>
          <t>Verify validating 'Locating your VIN' option under 'ADD A VEHICLE' Screen</t>
        </is>
      </c>
      <c r="G1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7" s="111" t="n"/>
      <c r="I17" s="128"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7" s="130" t="inlineStr">
        <is>
          <t xml:space="preserve">1. The customer should be educated with a message about locating the VIN on vehicle(i.e. Locating your VIN followed with msg on where to locate it in vehicle + 'OK' softkey) </t>
        </is>
      </c>
      <c r="K17" s="79" t="n"/>
      <c r="L17" s="86" t="n"/>
      <c r="M17" s="87" t="n"/>
      <c r="N17" s="88" t="n"/>
    </row>
    <row r="18" ht="195" customHeight="1">
      <c r="B18" s="82" t="n">
        <v>14</v>
      </c>
      <c r="C18" s="83" t="inlineStr">
        <is>
          <t>EUR, NAR, CHN</t>
        </is>
      </c>
      <c r="D18" s="83" t="inlineStr">
        <is>
          <t>High</t>
        </is>
      </c>
      <c r="E18" s="84">
        <f>(3+2+3)/3</f>
        <v/>
      </c>
      <c r="F18" s="79" t="inlineStr">
        <is>
          <t>Verify validating 'Scan VIN again' option under 'ADD A VEHICLE - CONFIRM YOUR VIN' Screen</t>
        </is>
      </c>
      <c r="G1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8" s="111" t="n"/>
      <c r="I18" s="128" t="inlineStr">
        <is>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8" s="130" t="inlineStr">
        <is>
          <t xml:space="preserve">1. The Mobile Camera should be relaunched displaying a box stating Msg(Centre your VIN in the box above) when user clicks on 'Scan VIN again' option under 'ADD A VEHICLE - CONFIRM YOUR VIN' screen </t>
        </is>
      </c>
      <c r="K18" s="79" t="n"/>
      <c r="L18" s="86" t="n"/>
      <c r="M18" s="87" t="n"/>
      <c r="N18" s="88" t="n"/>
    </row>
    <row r="19" ht="165" customHeight="1">
      <c r="B19" s="82" t="n">
        <v>15</v>
      </c>
      <c r="C19" s="83" t="inlineStr">
        <is>
          <t>EUR, NAR, CHN</t>
        </is>
      </c>
      <c r="D19" s="83" t="inlineStr">
        <is>
          <t>Low</t>
        </is>
      </c>
      <c r="E19" s="84">
        <f>(2+2+2)/3</f>
        <v/>
      </c>
      <c r="F19" s="79" t="inlineStr">
        <is>
          <t>Verify manually entering of 'Emoji's' / 'Special Characters' under VIN section</t>
        </is>
      </c>
      <c r="G1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9" s="111" t="n"/>
      <c r="I19" s="128"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9" s="130" t="inlineStr">
        <is>
          <t>1. The customer should not be allowed to enter 'Emoji's' / 'Special Characters' under VIN section in My Bentley App</t>
        </is>
      </c>
      <c r="K19" s="79" t="n"/>
      <c r="L19" s="86" t="n"/>
      <c r="M19" s="87" t="n"/>
      <c r="N19" s="88" t="n"/>
    </row>
    <row r="20" ht="210" customHeight="1">
      <c r="B20" s="50" t="n">
        <v>16</v>
      </c>
      <c r="C20" s="83" t="inlineStr">
        <is>
          <t>EUR, NAR, CHN</t>
        </is>
      </c>
      <c r="D20" s="51" t="inlineStr">
        <is>
          <t>High</t>
        </is>
      </c>
      <c r="E20" s="52">
        <f>(2+2+2)/3</f>
        <v/>
      </c>
      <c r="F20" s="79" t="inlineStr">
        <is>
          <t xml:space="preserve">Verify vehicle request email received to the registered email address and vehicle added in 'DASHBOARD' screen of My Bentley App after successfull submission of adding VIN request sent </t>
        </is>
      </c>
      <c r="G20"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20" s="111" t="n"/>
      <c r="I20" s="129"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20" s="131"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20" s="53" t="n"/>
      <c r="L20" s="54" t="n"/>
      <c r="M20" s="107" t="n"/>
      <c r="N20" s="108" t="n"/>
    </row>
    <row r="21" ht="32.25" customHeight="1" thickBot="1">
      <c r="B21" s="59" t="n">
        <v>17</v>
      </c>
      <c r="C21" s="60" t="inlineStr">
        <is>
          <t>EUR, NAR, CHN</t>
        </is>
      </c>
      <c r="D21" s="60" t="inlineStr">
        <is>
          <t>Low</t>
        </is>
      </c>
      <c r="E21" s="61">
        <f>(10+10+10)/3</f>
        <v/>
      </c>
      <c r="F21" s="62" t="inlineStr">
        <is>
          <t>Verify all the screen with Bentley style guide.</t>
        </is>
      </c>
      <c r="G21" s="73" t="inlineStr">
        <is>
          <t>• N/A</t>
        </is>
      </c>
      <c r="H21" s="111" t="n"/>
      <c r="I21" s="73" t="inlineStr">
        <is>
          <t>Observe all the screen's icon, font, colour</t>
        </is>
      </c>
      <c r="J21" s="132" t="inlineStr">
        <is>
          <t>All the icon, font, colour should be followed as per Bentley style guide.</t>
        </is>
      </c>
      <c r="K21" s="62" t="n"/>
      <c r="L21" s="63"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topLeftCell="A9" zoomScale="60" zoomScaleNormal="60" workbookViewId="0">
      <selection activeCell="J6" sqref="J6"/>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85.5703125" customWidth="1" style="43" min="8" max="8"/>
    <col width="63" customWidth="1" style="44" min="9" max="9"/>
    <col width="38.140625" customWidth="1" style="44" min="10" max="10"/>
    <col width="13.140625" customWidth="1" style="44" min="11" max="11"/>
    <col width="19.42578125" customWidth="1" style="43" min="12" max="12"/>
    <col width="18.85546875" customWidth="1" style="43" min="13" max="13"/>
    <col width="15.5703125" customWidth="1" style="46" min="14" max="14"/>
    <col width="8.7109375" customWidth="1" style="46" min="15" max="36"/>
    <col width="8.7109375" customWidth="1" style="46" min="37" max="16384"/>
  </cols>
  <sheetData>
    <row r="1" ht="16.5" customHeight="1" thickBot="1"/>
    <row r="2" ht="29.25" customHeight="1" thickBot="1">
      <c r="B2" s="227" t="inlineStr">
        <is>
          <t>App Registration Pages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48" customHeigh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1"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6" t="n">
        <v>2</v>
      </c>
      <c r="C6" s="147" t="inlineStr">
        <is>
          <t>EUR, NAR, CHN</t>
        </is>
      </c>
      <c r="D6" s="147" t="inlineStr">
        <is>
          <t>High</t>
        </is>
      </c>
      <c r="E6" s="148" t="n">
        <v>5</v>
      </c>
      <c r="F6" s="119" t="inlineStr">
        <is>
          <t xml:space="preserve">Verify signing up for a new Bentley ID along with verifying signin cannot be proceeded unless user accepts the T&amp;C and then adding VIN </t>
        </is>
      </c>
      <c r="G6" s="119" t="inlineStr">
        <is>
          <t>• No Bentley ID Account avaialable</t>
        </is>
      </c>
      <c r="H6" s="85" t="n"/>
      <c r="I6" s="149"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9"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9" t="n"/>
      <c r="L6" s="152" t="n"/>
      <c r="M6" s="153" t="n"/>
      <c r="N6" s="154"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1"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1"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1"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1"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9" t="n">
        <v>8</v>
      </c>
      <c r="C12" s="92" t="inlineStr">
        <is>
          <t>EUR, NAR, CHN</t>
        </is>
      </c>
      <c r="D12" s="92" t="inlineStr">
        <is>
          <t>Low</t>
        </is>
      </c>
      <c r="E12" s="93" t="n">
        <v>10</v>
      </c>
      <c r="F12" s="94" t="inlineStr">
        <is>
          <t>Verify all the screen with Bentley style guide.</t>
        </is>
      </c>
      <c r="G12" s="94" t="inlineStr">
        <is>
          <t>• N/A</t>
        </is>
      </c>
      <c r="H12" s="85" t="n"/>
      <c r="I12" s="94" t="inlineStr">
        <is>
          <t>Observe all the screen's icon, font, colour</t>
        </is>
      </c>
      <c r="J12" s="95" t="inlineStr">
        <is>
          <t>All the icon, font, colour should be followed as per Bentley style guide.</t>
        </is>
      </c>
      <c r="K12" s="94" t="n"/>
      <c r="L12" s="96" t="n"/>
      <c r="M12" s="94" t="n"/>
      <c r="N12" s="97" t="n"/>
    </row>
    <row r="13" ht="32.25" customFormat="1" customHeight="1" s="89">
      <c r="A13" s="91"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zoomScale="60" zoomScaleNormal="60" workbookViewId="0">
      <selection activeCell="H10" sqref="H10"/>
    </sheetView>
  </sheetViews>
  <sheetFormatPr baseColWidth="8" defaultColWidth="8.7109375" defaultRowHeight="15"/>
  <cols>
    <col width="10.28515625" customWidth="1" style="12" min="2" max="2"/>
    <col width="15.140625" customWidth="1" style="12" min="3" max="3"/>
    <col width="15.42578125" customWidth="1" style="12" min="4" max="4"/>
    <col width="11.28515625" customWidth="1" style="39" min="5" max="5"/>
    <col width="52.7109375" customWidth="1" min="6" max="6"/>
    <col width="51.140625" customWidth="1" min="7" max="7"/>
    <col width="55.85546875" customWidth="1" min="8" max="8"/>
    <col width="58.140625" customWidth="1" style="12" min="9" max="9"/>
    <col width="45.140625" customWidth="1" style="12" min="10" max="10"/>
    <col width="13.140625" customWidth="1" style="12" min="11" max="11"/>
    <col width="19.42578125" customWidth="1" min="12" max="12"/>
    <col width="18.85546875" customWidth="1" min="13" max="13"/>
    <col width="17.8554687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32" t="inlineStr">
        <is>
          <t>App Log in-Log out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Ensure that below preconditions are met before starting the testing of this service
• My Bentley app should be installed in the mobile</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10</v>
      </c>
      <c r="F5" s="120" t="inlineStr">
        <is>
          <t>Verifying MyBentley App login with valid password</t>
        </is>
      </c>
      <c r="G5" s="120" t="inlineStr">
        <is>
          <t>• The screen focus is in "My Bentley App - LOGIN OR REGISTER" page
( My Bentley App -- &gt; LOGIN OR REGISTER )</t>
        </is>
      </c>
      <c r="H5" s="53" t="inlineStr">
        <is>
          <t>• VIN / Vehicle added to Bentley Account
• Primary User Nomination done in Vehicle HMI successfully</t>
        </is>
      </c>
      <c r="I5" s="120" t="inlineStr">
        <is>
          <t>1. In My Bentley App page, click 'LOGIN OR REGISTER' button
2. In 'LOGIN OR REGISTER' page, Enter Email &amp; valid Password and click 'NEXT' button</t>
        </is>
      </c>
      <c r="J5" s="120" t="inlineStr">
        <is>
          <t>1. In 'LOGIN OR REGISTER' page, Email &amp; Password option should be displayed for user to enter
2. Vehicle DASHBOARD Screen launched displaying Vehicle Image and Vehicle Status Information</t>
        </is>
      </c>
      <c r="K5" s="120" t="n"/>
      <c r="L5" s="121" t="n"/>
      <c r="M5" s="120" t="n"/>
      <c r="N5" s="122" t="n"/>
    </row>
    <row r="6" ht="94.5" customHeight="1">
      <c r="A6" s="2" t="n"/>
      <c r="B6" s="50" t="n">
        <v>2</v>
      </c>
      <c r="C6" s="51" t="inlineStr">
        <is>
          <t>EUR, NAR, CHN</t>
        </is>
      </c>
      <c r="D6" s="51" t="inlineStr">
        <is>
          <t>High</t>
        </is>
      </c>
      <c r="E6" s="52" t="n">
        <v>5</v>
      </c>
      <c r="F6" s="53" t="inlineStr">
        <is>
          <t>Verifying MyBentley App login with invalid password</t>
        </is>
      </c>
      <c r="G6" s="53" t="inlineStr">
        <is>
          <t>• The screen focus is in "My Bentley App - LOGIN OR REGISTER" page
( My Bentley App -- &gt; LOGIN OR REGISTER )</t>
        </is>
      </c>
      <c r="H6" s="53" t="inlineStr">
        <is>
          <t>• VIN / Vehicle added to Bentley Account
• Primary User Nomination done in Vehicle HMI successfully</t>
        </is>
      </c>
      <c r="I6" s="53" t="inlineStr">
        <is>
          <t>1. In My Bentley App page, click 'LOGIN OR REGISTER' button
2. In 'LOGIN OR REGISTER' page, Enter Email &amp; invalid Password and click 'NEXT' button</t>
        </is>
      </c>
      <c r="J6" s="53" t="inlineStr">
        <is>
          <t>1. In 'LOGIN OR REGISTER' page, Email &amp; Password option should be displayed for user to enter
2. Invalid password error message(Ex : Sorry, wrong password. Please try again) to be displayed</t>
        </is>
      </c>
      <c r="K6" s="53" t="n"/>
      <c r="L6" s="54" t="n"/>
      <c r="M6" s="53" t="n"/>
      <c r="N6" s="55" t="n"/>
    </row>
    <row r="7" ht="110.25" customHeight="1">
      <c r="A7" s="2" t="n"/>
      <c r="B7" s="50" t="n">
        <v>3</v>
      </c>
      <c r="C7" s="51" t="inlineStr">
        <is>
          <t>EUR, NAR, CHN</t>
        </is>
      </c>
      <c r="D7" s="51" t="inlineStr">
        <is>
          <t>High</t>
        </is>
      </c>
      <c r="E7" s="52" t="n">
        <v>5</v>
      </c>
      <c r="F7" s="53" t="inlineStr">
        <is>
          <t>Verifying cancelling MyBentley App logout</t>
        </is>
      </c>
      <c r="G7"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7" s="53" t="n"/>
      <c r="I7" s="53" t="inlineStr">
        <is>
          <t xml:space="preserve">1. Click 'Cancel' button in the popup received </t>
        </is>
      </c>
      <c r="J7" s="53" t="inlineStr">
        <is>
          <t>1. The popup will close and screen will remain on 'General' tab</t>
        </is>
      </c>
      <c r="K7" s="53" t="n"/>
      <c r="L7" s="54" t="n"/>
      <c r="M7" s="53" t="n"/>
      <c r="N7" s="55" t="n"/>
    </row>
    <row r="8" ht="378" customHeight="1">
      <c r="A8" s="2" t="n"/>
      <c r="B8" s="50" t="n">
        <v>4</v>
      </c>
      <c r="C8" s="51" t="inlineStr">
        <is>
          <t>EUR, NAR, CHN</t>
        </is>
      </c>
      <c r="D8" s="51" t="inlineStr">
        <is>
          <t>Low</t>
        </is>
      </c>
      <c r="E8" s="52" t="n">
        <v>5</v>
      </c>
      <c r="F8" s="53" t="inlineStr">
        <is>
          <t>Verifying successful MyBentley App logout</t>
        </is>
      </c>
      <c r="G8" s="53" t="inlineStr">
        <is>
          <t>• The screen focus is in "My Bentley App - DASHBOARD" page
( My Bentley App --&gt; LOGIN OR REGISTER --&gt; Email --&gt; Enter valid email id --&gt; NEXT --&gt; Enter the Password --&gt; NEXT --&gt; Vehicle "DASHBOARD" Screen )</t>
        </is>
      </c>
      <c r="H8" s="53" t="n"/>
      <c r="I8" s="53" t="inlineStr">
        <is>
          <t>1. Click Profile icon(i.e. Present as the last option in the footer tab) 
2. In Profile page, Click 'General' tab
3. In 'General' tab, Click 'Log out' link
4. Click 'Log out' button in the popup received</t>
        </is>
      </c>
      <c r="J8"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8" s="53" t="n"/>
      <c r="L8" s="54" t="n"/>
      <c r="M8" s="53" t="n"/>
      <c r="N8" s="55" t="n"/>
    </row>
    <row r="9" ht="63"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409.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inlineStr">
        <is>
          <t>• N/A</t>
        </is>
      </c>
      <c r="H11" s="53"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topLeftCell="A5" zoomScale="60" zoomScaleNormal="60" workbookViewId="0">
      <selection activeCell="B9" sqref="B9"/>
    </sheetView>
  </sheetViews>
  <sheetFormatPr baseColWidth="8" defaultColWidth="8.7109375" defaultRowHeight="15"/>
  <cols>
    <col width="8.7109375" customWidth="1" style="46" min="1" max="1"/>
    <col width="10.28515625" customWidth="1" style="65" min="2" max="2"/>
    <col width="15.140625" customWidth="1" style="65" min="3" max="3"/>
    <col width="15.42578125" customWidth="1" style="65" min="4" max="4"/>
    <col width="11.28515625" customWidth="1" style="66" min="5" max="5"/>
    <col width="52.7109375" customWidth="1" style="46" min="6" max="6"/>
    <col width="51.140625" customWidth="1" style="46" min="7" max="7"/>
    <col width="55.85546875" customWidth="1" style="46" min="8" max="8"/>
    <col width="58.140625" customWidth="1" style="65" min="9" max="9"/>
    <col width="43.42578125" customWidth="1" style="65" min="10" max="10"/>
    <col width="13.140625" customWidth="1" style="65" min="11" max="11"/>
    <col width="19.42578125" customWidth="1" style="46" min="12" max="12"/>
    <col width="18.85546875" customWidth="1" style="46" min="13" max="13"/>
    <col width="14.85546875" customWidth="1" style="46" min="14" max="14"/>
    <col width="8.7109375" customWidth="1" style="46" min="15" max="36"/>
    <col width="8.7109375" customWidth="1" style="46" min="37"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32" t="inlineStr">
        <is>
          <t>Nickname</t>
        </is>
      </c>
      <c r="C2" s="228" t="n"/>
      <c r="D2" s="228" t="n"/>
      <c r="E2" s="228" t="n"/>
      <c r="F2" s="228" t="n"/>
      <c r="G2" s="228" t="n"/>
      <c r="H2" s="228" t="n"/>
      <c r="I2" s="228" t="n"/>
      <c r="J2" s="228" t="n"/>
      <c r="K2" s="228" t="n"/>
      <c r="L2" s="228" t="n"/>
      <c r="M2" s="233" t="n"/>
    </row>
    <row r="3" ht="16.5" customHeight="1" thickBot="1">
      <c r="A3" s="43" t="n"/>
      <c r="B3" s="234" t="inlineStr">
        <is>
          <t>Precondition</t>
        </is>
      </c>
      <c r="C3" s="226" t="n"/>
      <c r="D3" s="234" t="n"/>
      <c r="E3" s="48" t="n"/>
      <c r="F3" s="224" t="inlineStr">
        <is>
          <t>Ensure that below preconditions are met before starting the testing of this service
• My Bentley app should be installed in the mobile
• Vehicle is connected to network 
• Primary user registration process is completed successfully</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89.45" customHeight="1">
      <c r="A5" s="43" t="n"/>
      <c r="B5" s="127" t="n">
        <v>1</v>
      </c>
      <c r="C5" s="117" t="inlineStr">
        <is>
          <t>EUR, NAR, CHN</t>
        </is>
      </c>
      <c r="D5" s="117" t="inlineStr">
        <is>
          <t>High</t>
        </is>
      </c>
      <c r="E5" s="118" t="n">
        <v>3</v>
      </c>
      <c r="F5" s="120" t="inlineStr">
        <is>
          <t>Verifying default vehicle name displayed under 'VEHICLE DETAILS' Screen</t>
        </is>
      </c>
      <c r="G5" s="120"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20" t="inlineStr">
        <is>
          <t>1. In 'VEHICLE DETAILS' screen check for default vehicle name &amp; screen title being displayed</t>
        </is>
      </c>
      <c r="J5" s="120" t="inlineStr">
        <is>
          <t>'VEHICLE DETAILS' Screen launched displaying default Vehicle name(i.e. Default name for BY636 =  Bentayga)</t>
        </is>
      </c>
      <c r="K5" s="120" t="n"/>
      <c r="L5" s="121" t="n"/>
      <c r="M5" s="120" t="n"/>
      <c r="N5" s="122"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The screen focus is in "My Bentley App - DASHBOARD" page
( My Bentley App --&gt; LOGIN OR REGISTER --&gt; Email --&gt; Enter valid email id --&gt; NEXT --&gt; Enter the Password --&gt; NEXT --&gt; Vehicle "DASHBOARD" Screen )</t>
        </is>
      </c>
      <c r="H7" s="53" t="inlineStr">
        <is>
          <t xml:space="preserve">• Nickname to vehicle is not added </t>
        </is>
      </c>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The screen focus is in "My Bentley App - DASHBOARD" page
( My Bentley App --&gt; LOGIN OR REGISTER --&gt; Email --&gt; Enter valid email id --&gt; NEXT --&gt; Enter the Password --&gt; NEXT --&gt; Vehicle "DASHBOARD" Screen )</t>
        </is>
      </c>
      <c r="H9" s="53" t="inlineStr">
        <is>
          <t xml:space="preserve">• Nickname to vehicle already added </t>
        </is>
      </c>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A9" zoomScale="80" zoomScaleNormal="80" workbookViewId="0">
      <selection activeCell="J10" sqref="J10"/>
    </sheetView>
  </sheetViews>
  <sheetFormatPr baseColWidth="8" defaultColWidth="8.7109375" defaultRowHeight="15.75"/>
  <cols>
    <col width="8.7109375" customWidth="1" style="2" min="1" max="1"/>
    <col width="10.28515625" customWidth="1" style="2" min="2" max="2"/>
    <col width="15.140625" customWidth="1" style="8" min="3" max="3"/>
    <col width="25.42578125" customWidth="1" style="2" min="4" max="4"/>
    <col width="11.28515625" customWidth="1" style="36" min="5" max="5"/>
    <col width="55.5703125" customWidth="1" style="2" min="6" max="6"/>
    <col width="50.42578125" customWidth="1" style="2" min="7" max="7"/>
    <col width="61.42578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85546875" customWidth="1" style="2" min="14" max="14"/>
    <col width="8.7109375" customWidth="1" style="2" min="15" max="36"/>
    <col width="8.7109375" customWidth="1" style="2" min="37" max="16384"/>
  </cols>
  <sheetData>
    <row r="1" ht="16.5" customHeight="1" thickBot="1"/>
    <row r="2" ht="29.25" customHeight="1" thickBot="1">
      <c r="A2" s="43" t="n"/>
      <c r="B2" s="227" t="inlineStr">
        <is>
          <t>Services and licenses</t>
        </is>
      </c>
      <c r="C2" s="228" t="n"/>
      <c r="D2" s="228" t="n"/>
      <c r="E2" s="228" t="n"/>
      <c r="F2" s="228" t="n"/>
      <c r="G2" s="228" t="n"/>
      <c r="H2" s="228" t="n"/>
      <c r="I2" s="228" t="n"/>
      <c r="J2" s="228" t="n"/>
      <c r="K2" s="228" t="n"/>
      <c r="L2" s="228" t="n"/>
      <c r="M2" s="229" t="n"/>
    </row>
    <row r="3" ht="16.5" customHeight="1" thickBot="1">
      <c r="A3" s="43" t="n"/>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62.25" customHeight="1">
      <c r="A5" s="43" t="n"/>
      <c r="B5" s="127" t="n">
        <v>1</v>
      </c>
      <c r="C5" s="117" t="inlineStr">
        <is>
          <t>EUR, NAR, CHN</t>
        </is>
      </c>
      <c r="D5" s="117" t="inlineStr">
        <is>
          <t>High</t>
        </is>
      </c>
      <c r="E5" s="118" t="n">
        <v>5</v>
      </c>
      <c r="F5" s="119" t="inlineStr">
        <is>
          <t>Verify 'My Bentley remote services' license display in HMI</t>
        </is>
      </c>
      <c r="G5" s="120" t="inlineStr">
        <is>
          <t>• N/A</t>
        </is>
      </c>
      <c r="H5" s="53" t="n"/>
      <c r="I5" s="120" t="inlineStr">
        <is>
          <t>1. Validating 'My Bentley remote services' license and its contents via HMI
(HMI Home Screen --&gt; General --&gt; Settings --&gt; License Periods --&gt; My Bentley remote services)</t>
        </is>
      </c>
      <c r="J5" s="120"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20" t="n"/>
      <c r="L5" s="121" t="n"/>
      <c r="M5" s="120" t="n"/>
      <c r="N5" s="122" t="n"/>
    </row>
    <row r="6" ht="126" customHeight="1">
      <c r="A6" s="43" t="n"/>
      <c r="B6" s="50" t="n">
        <v>2</v>
      </c>
      <c r="C6" s="51" t="inlineStr">
        <is>
          <t>EUR, NAR, CHN</t>
        </is>
      </c>
      <c r="D6" s="51" t="inlineStr">
        <is>
          <t>High</t>
        </is>
      </c>
      <c r="E6" s="52" t="n">
        <v>5</v>
      </c>
      <c r="F6" s="79" t="inlineStr">
        <is>
          <t>Verify 'My Bentley remote services' license validity in HMI</t>
        </is>
      </c>
      <c r="G6" s="53" t="inlineStr">
        <is>
          <t>• N/A</t>
        </is>
      </c>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inlineStr">
        <is>
          <t>• N/A</t>
        </is>
      </c>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t>
        </is>
      </c>
      <c r="H8" s="53" t="inlineStr">
        <is>
          <t>• Primary User Nomination is done successfully
• VTS Activation done successfully(Only UK)</t>
        </is>
      </c>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7" t="n"/>
      <c r="N8" s="108"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t>
        </is>
      </c>
      <c r="H9" s="53" t="inlineStr">
        <is>
          <t>• Primary User Nomination is done successfully</t>
        </is>
      </c>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2" t="n"/>
      <c r="N9" s="113"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t>
        </is>
      </c>
      <c r="H10" s="53" t="inlineStr">
        <is>
          <t>• Primary User Nomination is done successfully</t>
        </is>
      </c>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2" t="n"/>
      <c r="N10" s="113"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t>
        </is>
      </c>
      <c r="H11" s="53" t="inlineStr">
        <is>
          <t>• Primary User Nomination is done successfully</t>
        </is>
      </c>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2" t="n"/>
      <c r="N11" s="113" t="n"/>
    </row>
    <row r="12" ht="94.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t>
        </is>
      </c>
      <c r="H12" s="53" t="inlineStr">
        <is>
          <t>• Primary User Nomination is done successfully</t>
        </is>
      </c>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2" t="n"/>
      <c r="N12" s="113" t="n"/>
    </row>
    <row r="13" ht="94.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t>
        </is>
      </c>
      <c r="H13" s="53" t="inlineStr">
        <is>
          <t>• Primary User Nomination is done successfully</t>
        </is>
      </c>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2" t="n"/>
      <c r="N13" s="113" t="n"/>
    </row>
    <row r="14" ht="9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t>
        </is>
      </c>
      <c r="H14" s="53" t="inlineStr">
        <is>
          <t>• Primary User Nomination is done successfully
• VTS Activation done successfully(Only UK)</t>
        </is>
      </c>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2" t="n"/>
      <c r="N14" s="113"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opLeftCell="A11" zoomScale="70" zoomScaleNormal="70" workbookViewId="0">
      <selection activeCell="H32" sqref="H32"/>
    </sheetView>
  </sheetViews>
  <sheetFormatPr baseColWidth="8" defaultColWidth="8.7109375" defaultRowHeight="15.75"/>
  <cols>
    <col width="8.7109375" customWidth="1" style="2" min="1" max="1"/>
    <col width="9.140625" customWidth="1" style="2" min="2" max="2"/>
    <col width="15.140625" customWidth="1" style="8" min="3" max="3"/>
    <col width="24" customWidth="1" style="2" min="4" max="4"/>
    <col width="11.28515625" customWidth="1" style="36" min="5" max="5"/>
    <col width="69.85546875" customWidth="1" style="2" min="6" max="6"/>
    <col width="36.85546875" customWidth="1" style="2" min="7" max="7"/>
    <col width="61.5703125" customWidth="1" style="2" min="8" max="8"/>
    <col width="66.42578125" customWidth="1" style="1" min="9" max="9"/>
    <col width="48.140625" customWidth="1" style="1" min="10" max="10"/>
    <col width="11.140625" bestFit="1" customWidth="1" style="1" min="11" max="11"/>
    <col width="19.42578125" customWidth="1" style="2" min="12" max="12"/>
    <col width="18.85546875" customWidth="1" style="2" min="13" max="13"/>
    <col width="14.7109375" customWidth="1" style="2" min="14" max="14"/>
    <col width="8.7109375" customWidth="1" style="2" min="15" max="36"/>
    <col width="8.7109375" customWidth="1" style="2" min="37" max="16384"/>
  </cols>
  <sheetData>
    <row r="1" ht="16.5" customHeight="1" thickBot="1"/>
    <row r="2" ht="29.25" customHeight="1" thickBot="1">
      <c r="B2" s="227" t="inlineStr">
        <is>
          <t>Vehicle Status Report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user registration process is completed successfully</t>
        </is>
      </c>
      <c r="G3" s="225" t="n"/>
      <c r="H3" s="225" t="n"/>
      <c r="I3" s="225" t="n"/>
      <c r="J3" s="225" t="n"/>
      <c r="K3" s="225" t="n"/>
      <c r="L3" s="225" t="n"/>
      <c r="M3" s="226" t="n"/>
    </row>
    <row r="4" ht="48" customHeight="1" thickBot="1">
      <c r="A4" t="inlineStr"/>
      <c r="B4" s="142" t="inlineStr">
        <is>
          <t>TC ID</t>
        </is>
      </c>
      <c r="C4" s="143" t="inlineStr">
        <is>
          <t>Region</t>
        </is>
      </c>
      <c r="D4" s="143" t="inlineStr">
        <is>
          <t>Test Priority</t>
        </is>
      </c>
      <c r="E4" s="144" t="inlineStr">
        <is>
          <t>Overall Effort (in Mins)</t>
        </is>
      </c>
      <c r="F4" s="143" t="inlineStr">
        <is>
          <t>Test Case Title</t>
        </is>
      </c>
      <c r="G4" s="143" t="inlineStr">
        <is>
          <t>Pre-Condition</t>
        </is>
      </c>
      <c r="H4" s="143" t="inlineStr">
        <is>
          <t>Pre-Condition (Vehicle)</t>
        </is>
      </c>
      <c r="I4" s="143" t="inlineStr">
        <is>
          <t>Action</t>
        </is>
      </c>
      <c r="J4" s="143"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 NAR, CHN</t>
        </is>
      </c>
      <c r="D5" s="117" t="inlineStr">
        <is>
          <t>High</t>
        </is>
      </c>
      <c r="E5" s="118" t="n">
        <v>3</v>
      </c>
      <c r="F5" s="120" t="inlineStr">
        <is>
          <t>Access 'Vehicle Status Report(VSR)' service from Mobile App</t>
        </is>
      </c>
      <c r="G5" s="120" t="inlineStr">
        <is>
          <t>• NA</t>
        </is>
      </c>
      <c r="H5" s="53" t="n"/>
      <c r="I5" s="120" t="inlineStr">
        <is>
          <t>Validate the vehicle status after logging in to My Bentley App
( My Bentley App --&gt; LOGIN OR REGISTER --&gt; Email --&gt; Enter valid email id --&gt; NEXT --&gt; Enter the Password --&gt; NEXT --&gt; Vehicle 'DASHBOARD' Screen )</t>
        </is>
      </c>
      <c r="J5" s="145"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1" t="n"/>
      <c r="L5" s="121" t="n"/>
      <c r="M5" s="121" t="n"/>
      <c r="N5" s="141"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1"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10"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10"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t>
        </is>
      </c>
      <c r="H8" s="53" t="inlineStr">
        <is>
          <t>• Ignition is Off</t>
        </is>
      </c>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10" t="n"/>
    </row>
    <row r="9" ht="157.5" customHeight="1">
      <c r="B9" s="50" t="n">
        <v>5</v>
      </c>
      <c r="C9" s="51" t="inlineStr">
        <is>
          <t>EUR, NAR, CHN</t>
        </is>
      </c>
      <c r="D9" s="51" t="inlineStr">
        <is>
          <t>Medium</t>
        </is>
      </c>
      <c r="E9" s="52" t="n">
        <v>5</v>
      </c>
      <c r="F9" s="53" t="inlineStr">
        <is>
          <t>Verify the status of the vehicle on refreshing the data when Ignition is On</t>
        </is>
      </c>
      <c r="G9" s="53" t="inlineStr">
        <is>
          <t xml:space="preserve">• The screen focus is in "My Bentley App - DASHBOARD" page
( My Bentley App --&gt; LOGIN OR REGISTER --&gt; Email --&gt; Enter valid email id --&gt; NEXT --&gt; Enter the Password --&gt; NEXT --&gt; Vehicle "DASHBOARD" Screen )
</t>
        </is>
      </c>
      <c r="H9" s="53" t="inlineStr">
        <is>
          <t>• Ignition is On</t>
        </is>
      </c>
      <c r="I9" s="53" t="inlineStr">
        <is>
          <t xml:space="preserve">Wait for 45 Seconds --&gt; Refresh the data(i.e. Swipe down the Dashboard screen) --&gt; Tap on “Update Vehicle Data” link from the notification pop up. </t>
        </is>
      </c>
      <c r="J9"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9" s="54" t="n"/>
      <c r="L9" s="54" t="n"/>
      <c r="M9" s="54" t="n"/>
      <c r="N9" s="110" t="n"/>
    </row>
    <row r="10" ht="110.25" customHeight="1">
      <c r="B10" s="50" t="n">
        <v>6</v>
      </c>
      <c r="C10" s="51" t="inlineStr">
        <is>
          <t>EUR, NAR, CHN</t>
        </is>
      </c>
      <c r="D10" s="51" t="inlineStr">
        <is>
          <t>Low</t>
        </is>
      </c>
      <c r="E10" s="52" t="n">
        <v>5</v>
      </c>
      <c r="F10" s="53" t="inlineStr">
        <is>
          <t>Verify the  status of the vehicle on refreshing the data when Engine is running or Vehicle is in Motion</t>
        </is>
      </c>
      <c r="G10" s="53" t="inlineStr">
        <is>
          <t>• The screen focus is in "My Bentley App - DASHBOARD" page
( My Bentley App --&gt; LOGIN OR REGISTER --&gt; Email --&gt; Enter valid email id --&gt; NEXT --&gt; Enter the Password --&gt; NEXT --&gt; Vehicle "DASHBOARD" Screen )</t>
        </is>
      </c>
      <c r="H10" s="53" t="inlineStr">
        <is>
          <t>• Engine is running or vehicle is in motion</t>
        </is>
      </c>
      <c r="I10" s="53" t="inlineStr">
        <is>
          <t xml:space="preserve">Wait for 45 Seconds --&gt; Refresh the data(i.e. Swipe down the Dashboard screen) --&gt; Tap on “Update Vehicle Data” link from the notification pop up. </t>
        </is>
      </c>
      <c r="J10" s="67" t="inlineStr">
        <is>
          <t>The vehicle status information should be successfully refreshed</t>
        </is>
      </c>
      <c r="K10" s="54" t="n"/>
      <c r="L10" s="54" t="n"/>
      <c r="M10" s="54" t="n"/>
      <c r="N10" s="110" t="n"/>
    </row>
    <row r="11" ht="126" customHeight="1">
      <c r="B11" s="50" t="n">
        <v>7</v>
      </c>
      <c r="C11" s="51" t="inlineStr">
        <is>
          <t>EUR, NAR, CHN</t>
        </is>
      </c>
      <c r="D11" s="51" t="inlineStr">
        <is>
          <t>High</t>
        </is>
      </c>
      <c r="E11" s="52" t="n">
        <v>3</v>
      </c>
      <c r="F11" s="79" t="inlineStr">
        <is>
          <t xml:space="preserve">Verify the Fuel Level and Range status of a vehicle </t>
        </is>
      </c>
      <c r="G11" s="53" t="inlineStr">
        <is>
          <t>• The screen focus is in Combined range section of "My Bentley App - DASHBOARD" page
( My Bentley App --&gt; LOGIN OR REGISTER --&gt; Email --&gt; Enter valid email id --&gt; NEXT --&gt; Enter the Password --&gt; NEXT --&gt; Vehicle "DASHBOARD" Screen )</t>
        </is>
      </c>
      <c r="H11" s="53" t="inlineStr">
        <is>
          <t>• Ensure vehicle has some fuel in the tank.
• Ignition off</t>
        </is>
      </c>
      <c r="I11"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11" s="67" t="inlineStr">
        <is>
          <t xml:space="preserve">1. The vehicle status information should be refreshed successfully. 
2. Fuel range and level(in %) should be matched with the data in the kombi display.
 </t>
        </is>
      </c>
      <c r="K11" s="54" t="n"/>
      <c r="L11" s="54" t="n"/>
      <c r="M11" s="54" t="n"/>
      <c r="N11" s="110" t="n"/>
    </row>
    <row r="12" ht="126" customHeight="1">
      <c r="B12" s="50" t="n">
        <v>8</v>
      </c>
      <c r="C12" s="51" t="inlineStr">
        <is>
          <t>EUR, NAR, CHN</t>
        </is>
      </c>
      <c r="D12" s="51" t="inlineStr">
        <is>
          <t>High</t>
        </is>
      </c>
      <c r="E12" s="52" t="n">
        <v>3</v>
      </c>
      <c r="F12" s="79" t="inlineStr">
        <is>
          <t xml:space="preserve">Verify the SOC(State of Charge) &amp; Fuel level, range &amp; Combined Range Status of the vehicle(Applicable to PHEV Vehicle Only) </t>
        </is>
      </c>
      <c r="G12" s="53" t="inlineStr">
        <is>
          <t>• The screen focus is in Combined range section of "My Bentley App - DASHBOARD" page
( My Bentley App --&gt; LOGIN OR REGISTER --&gt; Email --&gt; Enter valid email id --&gt; NEXT --&gt; Enter the Password --&gt; NEXT --&gt; Vehicle "DASHBOARD" Screen )</t>
        </is>
      </c>
      <c r="H12" s="53" t="inlineStr">
        <is>
          <t>• Ensure vehicle has some fuel in the tank some charge in the PHEV/BEV traction battery.
• Ignition off</t>
        </is>
      </c>
      <c r="I12"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2" s="67" t="inlineStr">
        <is>
          <t xml:space="preserve">1. The vehicle status information should be refreshed successfully. 
2. SOC, Fuel range and level(in %) should be matched with the data in the kombi display.
3. Combined range in (miles/km) should be matched with the data in the Kombi display. </t>
        </is>
      </c>
      <c r="K12" s="54" t="n"/>
      <c r="L12" s="54" t="n"/>
      <c r="M12" s="54" t="n"/>
      <c r="N12" s="110" t="n"/>
    </row>
    <row r="13" ht="126" customHeight="1">
      <c r="B13" s="50" t="n">
        <v>9</v>
      </c>
      <c r="C13" s="51" t="inlineStr">
        <is>
          <t>EUR, NAR, CHN</t>
        </is>
      </c>
      <c r="D13" s="51" t="inlineStr">
        <is>
          <t>High</t>
        </is>
      </c>
      <c r="E13" s="52" t="n">
        <v>3</v>
      </c>
      <c r="F13" s="79" t="inlineStr">
        <is>
          <t xml:space="preserve">Verify the Mileage Status data of the vehicle </t>
        </is>
      </c>
      <c r="G13" s="53" t="inlineStr">
        <is>
          <t>• The screen focus is in Mileage section of "My Bentley App - DASHBOARD" page
( My Bentley App --&gt; LOGIN OR REGISTER --&gt; Email --&gt; Enter valid email id --&gt; NEXT --&gt; Enter the Password --&gt; NEXT --&gt; Vehicle "DASHBOARD" Screen )</t>
        </is>
      </c>
      <c r="H13" s="53" t="inlineStr">
        <is>
          <t>• Ignition off</t>
        </is>
      </c>
      <c r="I13" s="53" t="inlineStr">
        <is>
          <t>Refresh the data(i.e. Swipe down the Dashboard screen) --&gt; Tap on “Update Vehicle Data” link from the notification pop up --&gt; Note the Mileage data under Mileage section of My Bentley App DASHBOARD page.</t>
        </is>
      </c>
      <c r="J13"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3" s="54" t="n"/>
      <c r="L13" s="54" t="n"/>
      <c r="M13" s="54" t="n"/>
      <c r="N13" s="110" t="n"/>
    </row>
    <row r="14" ht="110.25" customHeight="1">
      <c r="B14" s="50" t="n">
        <v>10</v>
      </c>
      <c r="C14" s="51" t="inlineStr">
        <is>
          <t>EUR, NAR, CHN</t>
        </is>
      </c>
      <c r="D14" s="51" t="inlineStr">
        <is>
          <t>High</t>
        </is>
      </c>
      <c r="E14" s="52" t="n">
        <v>5</v>
      </c>
      <c r="F14" s="79" t="inlineStr">
        <is>
          <t xml:space="preserve">Verify the vehicle status report in metric unit (km/litres) </t>
        </is>
      </c>
      <c r="G14" s="53" t="inlineStr">
        <is>
          <t>• The screen focus is in "My Bentley App - DASHBOARD" page
( My Bentley App --&gt; LOGIN OR REGISTER --&gt; Email --&gt; Enter valid email id --&gt; NEXT --&gt; Enter the Password --&gt; NEXT --&gt; Vehicle "DASHBOARD" Screen )</t>
        </is>
      </c>
      <c r="H14" s="53" t="inlineStr">
        <is>
          <t>• Ignition is Off</t>
        </is>
      </c>
      <c r="I14" s="53" t="inlineStr">
        <is>
          <t>1. Change display units in MMI/Kombi to Imperial units
2. Change display units in MMI/Kombi to Metric units in My Bentley App(Profiles --&gt; Settings --&gt; Units) --&gt; Go to App Dashboard --&gt;Check the Unit type in Range Section and Mileage section</t>
        </is>
      </c>
      <c r="J14" s="67" t="inlineStr">
        <is>
          <t>1. The unit of the mileage, consumption, distance and other similar fields should be changed to km/litre in MMI/Kombi
2. The App should display the Data in km/litres as set in MMI/kombi</t>
        </is>
      </c>
      <c r="K14" s="54" t="n"/>
      <c r="L14" s="54" t="n"/>
      <c r="M14" s="54" t="n"/>
      <c r="N14" s="110" t="n"/>
    </row>
    <row r="15" ht="110.25" customHeight="1">
      <c r="B15" s="50" t="n">
        <v>11</v>
      </c>
      <c r="C15" s="51" t="inlineStr">
        <is>
          <t>EUR, NAR, CHN</t>
        </is>
      </c>
      <c r="D15" s="51" t="inlineStr">
        <is>
          <t>High</t>
        </is>
      </c>
      <c r="E15" s="52" t="n">
        <v>5</v>
      </c>
      <c r="F15" s="79" t="inlineStr">
        <is>
          <t xml:space="preserve">Verify the vehicle status report in imperial unit(Miles/Gallons) </t>
        </is>
      </c>
      <c r="G15" s="53" t="inlineStr">
        <is>
          <t>• The screen focus is in "My Bentley App - DASHBOARD" page
( My Bentley App --&gt; LOGIN OR REGISTER --&gt; Email --&gt; Enter valid email id --&gt; NEXT --&gt; Enter the Password --&gt; NEXT --&gt; Vehicle "DASHBOARD" Screen )</t>
        </is>
      </c>
      <c r="H15" s="53" t="inlineStr">
        <is>
          <t>• Ignition is Off</t>
        </is>
      </c>
      <c r="I15" s="53" t="inlineStr">
        <is>
          <t>1. Change display units in MMI/Kombi to Imperial units
2. Change display units in MMI/Kombi to Metric units in My Bentley App(Profiles --&gt; Settings --&gt; Units) --&gt; Go to App Dashboard --&gt;Check the Unit type in Range Section and Mileage section</t>
        </is>
      </c>
      <c r="J15" s="67" t="inlineStr">
        <is>
          <t>1. The unit of the mileage, consumption, distance and other similar fields should be changed to mile/gallon in MMI/Kombi
2. The App should display the Data in mi/gal as set in MMI/kombi</t>
        </is>
      </c>
      <c r="K15" s="51" t="n"/>
      <c r="L15" s="54" t="n"/>
      <c r="M15" s="71" t="n"/>
      <c r="N15" s="72"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 Dashboard Doors Section status : 
• Driver Door: Closed
• Front Co Passenger Door: Closed
• Rear Left Passenger Door: Closed
• Rear Right Passenger Door: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 Dashboard Doors Section status : 
• Driver Door: Opened
• Front Co Passenger Door: Closed
• Rear Left Passenger Door: Closed
• Rear Right Passenger Door: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 Dashboard Doors Section status : 
• Driver Door: Opened
• Front Co Passenger Door: Opened
• Rear Left Passenger Door: Closed
• Rear Right Passenger Door: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 Dashboard Doors Section status : 
• Driver Door: Opened
• Front Co Passenger Door: Opened
• Rear Left Passenger Door: Opened
• Rear Right Passenger Door: Closed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 Dashboard Doors Section status : 
• Driver Door: Opened
• Front Co Passenger Door: Opened
• Rear Left Passenger Door: Opened
• Rear Right Passenger Door: Opened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 Dashboard Windows Section status : 
• Driver Window: Closed
• Front Co Passenger Window: Closed
• Rear Left Passenger Window: Closed
• Rear Right Passenger Window: Closed
• 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 Dashboard Windows Section status : 
• Driver Window: Opened
• Front Co Passenger Window: Closed
• Rear Left Passenger Window: Closed
• Rear Right Passenger Window: Closed
• 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 Dashboard Windows Section status : 
• Driver Window: Opened
• Front Co Passenger Window: Opened
• Rear Left Passenger Window: Closed
• Rear Right Passenger Window: Closed
• 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 Dashboard Windows Section status : 
• Driver Window: Opened
• Front Co Passenger Window: Opened
• Rear Left Passenger Window: Opened
• Rear Right Passenger Window: Closed
• 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 Dashboard Windows Section status : 
• Driver Window: Opened
• Front Co Passenger Window: Opened
• Rear Left Passenger Window: Opened
• Rear Right Passenger Window: Opened
• Sunroof: Closed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 Dashboard Windows Section status : 
• Driver Window: Opened
• Front Co Passenger Window: Opened
• Rear Left Passenger Window: Opened
• Rear Right Passenger Window: Opened
• Sunroof: Opened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 Dashboard Boot &amp; Bonnet Section status : 
• Boot: Closed
• Bonnet: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 Dashboard Boot &amp; Bonnet Section status : 
• Boot: Opened
• Bonnet: Closed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 Dashboard Boot &amp; Bonnet Section status : 
• Boot: Opened
• Bonnet: Opened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2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t>
        </is>
      </c>
      <c r="H30" s="53" t="inlineStr">
        <is>
          <t>• Ignition is Off
* Dashboard Lights Section status : 
• Lights: Off</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26"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t>
        </is>
      </c>
      <c r="H31" s="53" t="inlineStr">
        <is>
          <t>• Ignition is Off
* Dashboard Lights Section status : 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inlineStr">
        <is>
          <t>• N/A</t>
        </is>
      </c>
      <c r="H35" s="53"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4">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3"/>
  <sheetViews>
    <sheetView topLeftCell="A11" zoomScale="60" zoomScaleNormal="60" workbookViewId="0">
      <selection activeCell="J13" sqref="J13"/>
    </sheetView>
  </sheetViews>
  <sheetFormatPr baseColWidth="8" defaultColWidth="8.7109375" defaultRowHeight="15.75"/>
  <cols>
    <col width="8.7109375" customWidth="1" style="2" min="1" max="1"/>
    <col width="9.140625" customWidth="1" style="2" min="2" max="2"/>
    <col width="15.140625" customWidth="1" style="8" min="3" max="3"/>
    <col width="17.5703125" customWidth="1" style="2" min="4" max="4"/>
    <col width="11.28515625" customWidth="1" style="36" min="5" max="5"/>
    <col width="65.5703125" customWidth="1" style="2" min="6" max="6"/>
    <col width="40.28515625" customWidth="1" style="2" min="7" max="7"/>
    <col width="53.85546875" customWidth="1" style="2" min="8" max="8"/>
    <col width="66.42578125" customWidth="1" style="1" min="9" max="9"/>
    <col width="46.28515625" customWidth="1" style="1" min="10" max="10"/>
    <col width="11.28515625" bestFit="1" customWidth="1" style="1" min="11" max="11"/>
    <col width="19.42578125" customWidth="1" style="2" min="12" max="12"/>
    <col width="18.85546875" customWidth="1" style="2" min="13" max="13"/>
    <col width="14.140625" customWidth="1" style="2" min="14" max="14"/>
    <col width="8.7109375" customWidth="1" style="2" min="15" max="36"/>
    <col width="8.7109375" customWidth="1" style="2" min="37" max="16384"/>
  </cols>
  <sheetData>
    <row r="1" ht="16.5" customHeight="1" thickBot="1"/>
    <row r="2" ht="29.25" customHeight="1" thickBot="1">
      <c r="B2" s="237" t="inlineStr">
        <is>
          <t>Remote Lock-Unlock</t>
        </is>
      </c>
      <c r="C2" s="225" t="n"/>
      <c r="D2" s="225" t="n"/>
      <c r="E2" s="225" t="n"/>
      <c r="F2" s="225" t="n"/>
      <c r="G2" s="225" t="n"/>
      <c r="H2" s="225" t="n"/>
      <c r="I2" s="225" t="n"/>
      <c r="J2" s="225" t="n"/>
      <c r="K2" s="225" t="n"/>
      <c r="L2" s="225" t="n"/>
      <c r="M2" s="236" t="n"/>
    </row>
    <row r="3" ht="16.5" customHeight="1" thickBot="1">
      <c r="B3" s="238" t="inlineStr">
        <is>
          <t>Precondition</t>
        </is>
      </c>
      <c r="C3" s="236" t="n"/>
      <c r="D3" s="187" t="n"/>
      <c r="E3" s="188" t="n"/>
      <c r="F3" s="235"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25" t="n"/>
      <c r="H3" s="225" t="n"/>
      <c r="I3" s="225" t="n"/>
      <c r="J3" s="225" t="n"/>
      <c r="K3" s="225" t="n"/>
      <c r="L3" s="225" t="n"/>
      <c r="M3" s="23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2</v>
      </c>
      <c r="F5" s="119" t="inlineStr">
        <is>
          <t>Access Remote Lock &amp; Unlock service from Mobile App</t>
        </is>
      </c>
      <c r="G5" s="120" t="inlineStr">
        <is>
          <t>• The screen focus is in "My Bentley App - DASHBOARD" page
( My Bentley App --&gt; LOGIN OR REGISTER --&gt; Email --&gt; Enter valid email id --&gt; NEXT --&gt; Enter the Password --&gt; NEXT --&gt; Vehicle "DASHBOARD" Screen )</t>
        </is>
      </c>
      <c r="H5" s="53" t="n"/>
      <c r="I5" s="120" t="inlineStr">
        <is>
          <t xml:space="preserve"> Scroll up/down and search for the Lock and Unlock  button. </t>
        </is>
      </c>
      <c r="J5" s="120" t="inlineStr">
        <is>
          <t>Lock and Unlock button are visible with respect to current lock status of the vehicle.</t>
        </is>
      </c>
      <c r="K5" s="121" t="n"/>
      <c r="L5" s="121" t="n"/>
      <c r="M5" s="121" t="n"/>
      <c r="N5" s="141" t="n"/>
    </row>
    <row r="6" ht="141.75" customHeight="1">
      <c r="B6" s="50" t="n">
        <v>2</v>
      </c>
      <c r="C6" s="51" t="inlineStr">
        <is>
          <t>EUR, NAR, CHN</t>
        </is>
      </c>
      <c r="D6" s="51" t="inlineStr">
        <is>
          <t>High</t>
        </is>
      </c>
      <c r="E6" s="52" t="n">
        <v>5</v>
      </c>
      <c r="F6" s="111"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t>
        </is>
      </c>
      <c r="H6" s="53" t="inlineStr">
        <is>
          <t>• All Doors are closed
•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10" t="n"/>
    </row>
    <row r="7" ht="141.75" customHeight="1">
      <c r="B7" s="50" t="n">
        <v>3</v>
      </c>
      <c r="C7" s="51" t="inlineStr">
        <is>
          <t>EUR, NAR, CHN</t>
        </is>
      </c>
      <c r="D7" s="51" t="inlineStr">
        <is>
          <t>High</t>
        </is>
      </c>
      <c r="E7" s="52" t="n">
        <v>5</v>
      </c>
      <c r="F7" s="111" t="inlineStr">
        <is>
          <t xml:space="preserve">Verify the Remote Lock functionality </t>
        </is>
      </c>
      <c r="G7" s="53" t="inlineStr">
        <is>
          <t>• The screen focus is in "My Bentley App - DASHBOARD" page
( My Bentley App --&gt; LOGIN OR REGISTER --&gt; Email --&gt; Enter valid email id --&gt; NEXT --&gt; Enter the Password --&gt; NEXT --&gt; Vehicle "DASHBOARD" Screen )</t>
        </is>
      </c>
      <c r="H7" s="53" t="inlineStr">
        <is>
          <t>• All Doors are closed
• Vehicle is unlocked
Ignition is Off</t>
        </is>
      </c>
      <c r="I7" s="53" t="inlineStr">
        <is>
          <t xml:space="preserve">Tap on 'Lock' button --&gt; Enter SPIN </t>
        </is>
      </c>
      <c r="J7"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7" s="54" t="n"/>
      <c r="L7" s="54" t="n"/>
      <c r="M7" s="54" t="n"/>
      <c r="N7" s="110" t="n"/>
    </row>
    <row r="8" ht="105" customHeight="1">
      <c r="B8" s="50" t="n">
        <v>4</v>
      </c>
      <c r="C8" s="51" t="inlineStr">
        <is>
          <t>EUR, NAR, CHN</t>
        </is>
      </c>
      <c r="D8" s="51" t="inlineStr">
        <is>
          <t>Medium</t>
        </is>
      </c>
      <c r="E8" s="52" t="n">
        <v>4</v>
      </c>
      <c r="F8" s="16" t="inlineStr">
        <is>
          <t>Verify validating My Bentley App Services with an invalid SPIN</t>
        </is>
      </c>
      <c r="G8" s="16" t="inlineStr">
        <is>
          <t xml:space="preserve">• My Bentley App login credentials available
</t>
        </is>
      </c>
      <c r="H8" s="53" t="inlineStr">
        <is>
          <t>• User has a VIN linked to their account with no Primary User nominated
• RNR check has been validated for this account(CHN)
• Privacy Mode is disabed in the vehicle HMI
• SPIN already set
• Primary User Nomination done</t>
        </is>
      </c>
      <c r="I8"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8" s="16" t="inlineStr">
        <is>
          <t xml:space="preserve">1. Log In to Bentley ID should be successfull and focus is in vehicle DASHBOARD screen
2. Invalid PIN error message should be displayed when tried to perform Remote Lock/Unlock with an invalid SPIN entry
</t>
        </is>
      </c>
      <c r="K8" s="54" t="n"/>
      <c r="L8" s="54" t="n"/>
      <c r="M8" s="54" t="n"/>
      <c r="N8" s="110" t="n"/>
    </row>
    <row r="9" ht="141.75" customHeight="1">
      <c r="B9" s="50" t="n">
        <v>5</v>
      </c>
      <c r="C9" s="51" t="inlineStr">
        <is>
          <t>EUR, NAR, CHN</t>
        </is>
      </c>
      <c r="D9" s="51" t="inlineStr">
        <is>
          <t>Medium</t>
        </is>
      </c>
      <c r="E9" s="52" t="n">
        <v>4</v>
      </c>
      <c r="F9" s="111" t="inlineStr">
        <is>
          <t>Verify the Remote Unlock functionality when Ignition is ON</t>
        </is>
      </c>
      <c r="G9" s="53" t="inlineStr">
        <is>
          <t>• The screen focus is in "My Bentley App - DASHBOARD" page
( My Bentley App --&gt; LOGIN OR REGISTER --&gt; Email --&gt; Enter valid email id --&gt; NEXT --&gt; Enter the Password --&gt; NEXT --&gt; Vehicle "DASHBOARD" Screen )</t>
        </is>
      </c>
      <c r="H9" s="53" t="inlineStr">
        <is>
          <t>• All Doors are closed
• Vehicle is locked
• Ignition is ON</t>
        </is>
      </c>
      <c r="I9" s="53" t="inlineStr">
        <is>
          <t xml:space="preserve">Tap on 'Unlock' button --&gt; Enter SPIN </t>
        </is>
      </c>
      <c r="J9"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9" s="51" t="n"/>
      <c r="L9" s="54" t="n"/>
      <c r="M9" s="71" t="n"/>
      <c r="N9" s="72" t="n"/>
    </row>
    <row r="10" ht="141.75" customHeight="1">
      <c r="B10" s="50" t="n">
        <v>6</v>
      </c>
      <c r="C10" s="51" t="inlineStr">
        <is>
          <t>EUR, NAR, CHN</t>
        </is>
      </c>
      <c r="D10" s="51" t="inlineStr">
        <is>
          <t>High</t>
        </is>
      </c>
      <c r="E10" s="52" t="n">
        <v>4</v>
      </c>
      <c r="F10" s="111" t="inlineStr">
        <is>
          <t>Verify the Remote Lock functionality when Ignition is ON</t>
        </is>
      </c>
      <c r="G10" s="53" t="inlineStr">
        <is>
          <t>• The screen focus is in "My Bentley App - DASHBOARD" page
( My Bentley App --&gt; LOGIN OR REGISTER --&gt; Email --&gt; Enter valid email id --&gt; NEXT --&gt; Enter the Password --&gt; NEXT --&gt; Vehicle "DASHBOARD" Screen )</t>
        </is>
      </c>
      <c r="H10" s="53" t="inlineStr">
        <is>
          <t>• All Doors are closed
• Vehicle is unlocked
• Ignition is ON</t>
        </is>
      </c>
      <c r="I10" s="53" t="inlineStr">
        <is>
          <t xml:space="preserve">Tap on 'Lock' button --&gt; Enter SPIN </t>
        </is>
      </c>
      <c r="J10"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10" s="54" t="n"/>
      <c r="L10" s="54" t="n"/>
      <c r="M10" s="54" t="n"/>
      <c r="N10" s="110" t="n"/>
    </row>
    <row r="11" ht="141.75" customHeight="1">
      <c r="B11" s="50" t="n">
        <v>7</v>
      </c>
      <c r="C11" s="51" t="inlineStr">
        <is>
          <t>EUR, NAR, CHN</t>
        </is>
      </c>
      <c r="D11" s="51" t="inlineStr">
        <is>
          <t>High</t>
        </is>
      </c>
      <c r="E11" s="52" t="n">
        <v>4</v>
      </c>
      <c r="F11" s="111" t="inlineStr">
        <is>
          <t>Verify the Remote Lock functionality when Driver Door is opened</t>
        </is>
      </c>
      <c r="G11" s="53" t="inlineStr">
        <is>
          <t>• The screen focus is in "My Bentley App - DASHBOARD" page
( My Bentley App --&gt; LOGIN OR REGISTER --&gt; Email --&gt; Enter valid email id --&gt; NEXT --&gt; Enter the Password --&gt; NEXT --&gt; Vehicle "DASHBOARD" Screen )</t>
        </is>
      </c>
      <c r="H11" s="53" t="inlineStr">
        <is>
          <t>• Driver door open but other doors closed
• Vehicle is unlocked
• Ignition is OFF</t>
        </is>
      </c>
      <c r="I11" s="53" t="inlineStr">
        <is>
          <t xml:space="preserve">Tap on 'Lock' button --&gt; Enter SPIN </t>
        </is>
      </c>
      <c r="J11"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1" s="51" t="n"/>
      <c r="L11" s="54" t="n"/>
      <c r="M11" s="71" t="n"/>
      <c r="N11" s="72" t="n"/>
    </row>
    <row r="12" ht="141.75" customHeight="1">
      <c r="B12" s="50" t="n">
        <v>8</v>
      </c>
      <c r="C12" s="51" t="inlineStr">
        <is>
          <t>EUR, NAR, CHN</t>
        </is>
      </c>
      <c r="D12" s="51" t="inlineStr">
        <is>
          <t>Medium</t>
        </is>
      </c>
      <c r="E12" s="52" t="n">
        <v>4</v>
      </c>
      <c r="F12" s="67" t="inlineStr">
        <is>
          <t>Verify the Remote Lock functionality when Any door or trunk is opened</t>
        </is>
      </c>
      <c r="G12" s="53" t="inlineStr">
        <is>
          <t>• The screen focus is in "My Bentley App - DASHBOARD" page
( My Bentley App --&gt; LOGIN OR REGISTER --&gt; Email --&gt; Enter valid email id --&gt; NEXT --&gt; Enter the Password --&gt; NEXT --&gt; Vehicle "DASHBOARD" Screen )</t>
        </is>
      </c>
      <c r="H12" s="53" t="inlineStr">
        <is>
          <t>• A door/bonnet is open other than the driver door
• Vehicle is unlocked
• Ignition is OFF</t>
        </is>
      </c>
      <c r="I12" s="53" t="inlineStr">
        <is>
          <t xml:space="preserve">Tap on 'Lock' button --&gt; Enter SPIN </t>
        </is>
      </c>
      <c r="J12"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12" s="51" t="n"/>
      <c r="L12" s="54" t="n"/>
      <c r="M12" s="71" t="n"/>
      <c r="N12" s="72" t="n"/>
    </row>
    <row r="13" ht="110.25" customHeight="1">
      <c r="B13" s="50" t="n">
        <v>9</v>
      </c>
      <c r="C13" s="51" t="inlineStr">
        <is>
          <t>EUR, NAR, CHN</t>
        </is>
      </c>
      <c r="D13" s="51" t="inlineStr">
        <is>
          <t>Medium</t>
        </is>
      </c>
      <c r="E13" s="52" t="n">
        <v>3</v>
      </c>
      <c r="F13" s="67" t="inlineStr">
        <is>
          <t xml:space="preserve">Access to Remote Lock/unlock history  </t>
        </is>
      </c>
      <c r="G13" s="53" t="inlineStr">
        <is>
          <t>• The screen focus is in "My Bentley App - DASHBOARD" page
( My Bentley App --&gt; LOGIN OR REGISTER --&gt; Email --&gt; Enter valid email id --&gt; NEXT --&gt; Enter the Password --&gt; NEXT --&gt; Vehicle "DASHBOARD" Screen )</t>
        </is>
      </c>
      <c r="H13" s="53" t="n"/>
      <c r="I13" s="53" t="inlineStr">
        <is>
          <t xml:space="preserve">Go to Notifications </t>
        </is>
      </c>
      <c r="J13" s="53" t="inlineStr">
        <is>
          <t>Lock/unlock history should be visible with correct timestamps</t>
        </is>
      </c>
      <c r="K13" s="51" t="n"/>
      <c r="L13" s="54" t="n"/>
      <c r="M13" s="71" t="n"/>
      <c r="N13" s="72" t="n"/>
    </row>
    <row r="14" ht="110.25" customHeight="1">
      <c r="B14" s="50" t="n">
        <v>10</v>
      </c>
      <c r="C14" s="51" t="inlineStr">
        <is>
          <t>EUR, NAR, CHN</t>
        </is>
      </c>
      <c r="D14" s="51" t="inlineStr">
        <is>
          <t>Medium</t>
        </is>
      </c>
      <c r="E14" s="52" t="n">
        <v>4</v>
      </c>
      <c r="F14" s="67" t="inlineStr">
        <is>
          <t>Verify the Remote Lock/Unlock latency time (Service Round Trip Time)</t>
        </is>
      </c>
      <c r="G14" s="53" t="inlineStr">
        <is>
          <t>• The screen focus is in "My Bentley App - DASHBOARD" page
( My Bentley App --&gt; LOGIN OR REGISTER --&gt; Email --&gt; Enter valid email id --&gt; NEXT --&gt; Enter the Password --&gt; NEXT --&gt; Vehicle "DASHBOARD" Screen )</t>
        </is>
      </c>
      <c r="H14" s="53" t="inlineStr">
        <is>
          <t>• All Doors are closed
• Vehicle is unlocked
• Ignition is OFF</t>
        </is>
      </c>
      <c r="I14" s="53" t="inlineStr">
        <is>
          <t xml:space="preserve">Tap on 'Lock' button --&gt; Enter SPIN </t>
        </is>
      </c>
      <c r="J14" s="53" t="inlineStr">
        <is>
          <t>The action should performed successfully and complete in 40 seconds.</t>
        </is>
      </c>
      <c r="K14" s="51" t="n"/>
      <c r="L14" s="54" t="n"/>
      <c r="M14" s="71" t="n"/>
      <c r="N14" s="72" t="n"/>
    </row>
    <row r="15" ht="110.25" customHeight="1">
      <c r="B15" s="50" t="n">
        <v>11</v>
      </c>
      <c r="C15" s="51" t="inlineStr">
        <is>
          <t>EUR, NAR, CHN</t>
        </is>
      </c>
      <c r="D15" s="51" t="inlineStr">
        <is>
          <t>Low</t>
        </is>
      </c>
      <c r="E15" s="52" t="n">
        <v>4</v>
      </c>
      <c r="F15" s="67" t="inlineStr">
        <is>
          <t>Verify the Remote Lock functionality when vehicle is already locked</t>
        </is>
      </c>
      <c r="G15" s="53" t="inlineStr">
        <is>
          <t>• The screen focus is in "My Bentley App - DASHBOARD" page
( My Bentley App --&gt; LOGIN OR REGISTER --&gt; Email --&gt; Enter valid email id --&gt; NEXT --&gt; Enter the Password --&gt; NEXT --&gt; Vehicle "DASHBOARD" Screen )</t>
        </is>
      </c>
      <c r="H15" s="53" t="inlineStr">
        <is>
          <t>• All Doors are closed
• Vehicle is locked
• Ignition is OFF</t>
        </is>
      </c>
      <c r="I15" s="53" t="inlineStr">
        <is>
          <t xml:space="preserve">Tap on 'Lock' button --&gt; Enter SPIN </t>
        </is>
      </c>
      <c r="J15" s="53" t="inlineStr">
        <is>
          <t>1. The action should performed and get response with an appropriate  message (e.g. response as 'Vehicle is already locked / Vehicle locked'  [relevant message])
2. Push notification should be received in the app</t>
        </is>
      </c>
      <c r="K15" s="51" t="n"/>
      <c r="L15" s="54" t="n"/>
      <c r="M15" s="71" t="n"/>
      <c r="N15" s="72" t="n"/>
    </row>
    <row r="16" ht="110.25" customHeight="1">
      <c r="B16" s="50" t="n">
        <v>12</v>
      </c>
      <c r="C16" s="51" t="inlineStr">
        <is>
          <t>EUR, NAR, CHN</t>
        </is>
      </c>
      <c r="D16" s="51" t="inlineStr">
        <is>
          <t>Low</t>
        </is>
      </c>
      <c r="E16" s="52" t="n">
        <v>4</v>
      </c>
      <c r="F16" s="67" t="inlineStr">
        <is>
          <t>Verify the Remote Unlock functionality when vehicle is already unlocked</t>
        </is>
      </c>
      <c r="G16" s="53" t="inlineStr">
        <is>
          <t>• The screen focus is in "My Bentley App - DASHBOARD" page
( My Bentley App --&gt; LOGIN OR REGISTER --&gt; Email --&gt; Enter valid email id --&gt; NEXT --&gt; Enter the Password --&gt; NEXT --&gt; Vehicle "DASHBOARD" Screen )</t>
        </is>
      </c>
      <c r="H16" s="53" t="inlineStr">
        <is>
          <t>• All Doors are closed
• Vehicle is unlocked
• Ignition is OFF</t>
        </is>
      </c>
      <c r="I16" s="53" t="inlineStr">
        <is>
          <t xml:space="preserve">Tap on 'Unlock' button --&gt; Enter SPIN </t>
        </is>
      </c>
      <c r="J16" s="53" t="inlineStr">
        <is>
          <t>1. The action should performed and get response with an appropriate  message (e.g. response as 'Vehicle is already unlocked / Vehicle unlocked'  [relevant message])
2. Push notification should be received in the app</t>
        </is>
      </c>
      <c r="K16" s="51" t="n"/>
      <c r="L16" s="54" t="n"/>
      <c r="M16" s="71" t="n"/>
      <c r="N16" s="72" t="n"/>
    </row>
    <row r="17" ht="110.25" customHeight="1">
      <c r="B17" s="50" t="n">
        <v>13</v>
      </c>
      <c r="C17" s="51" t="inlineStr">
        <is>
          <t>EUR, NAR, CHN</t>
        </is>
      </c>
      <c r="D17" s="51" t="inlineStr">
        <is>
          <t>Low</t>
        </is>
      </c>
      <c r="E17" s="52" t="n">
        <v>4</v>
      </c>
      <c r="F17" s="67" t="inlineStr">
        <is>
          <t>Verify the Remote Lock functionality timeout when vehicle is not connected to network</t>
        </is>
      </c>
      <c r="G17" s="71" t="inlineStr">
        <is>
          <t>• The screen focus is in "My Bentley App - DASHBOARD" page
( My Bentley App --&gt; LOGIN OR REGISTER --&gt; Email --&gt; Enter valid email id --&gt; NEXT --&gt; Enter the Password --&gt; NEXT --&gt; Vehicle "DASHBOARD" Screen )</t>
        </is>
      </c>
      <c r="H17" s="53" t="inlineStr">
        <is>
          <t>• All Doors are closed
• Disconnect the vehicle from the network or  Activate flight mode in Mobile where My Bentley App is installed and accessing
• Vehicle is unlocked
• Ignition is OFF</t>
        </is>
      </c>
      <c r="I17" s="53" t="inlineStr">
        <is>
          <t xml:space="preserve">Tap on 'Lock' button --&gt; Enter SPIN  </t>
        </is>
      </c>
      <c r="J17" s="53" t="inlineStr">
        <is>
          <t>1. The action should be terminated (timeout) after 2 minutes. 
2. App should be notified with an appropriate  message (e.g. response as 'Vehicle unreachable '  [relevant message])
3. Push notification should be received in the app</t>
        </is>
      </c>
      <c r="K17" s="51" t="n"/>
      <c r="L17" s="54" t="n"/>
      <c r="M17" s="71" t="n"/>
      <c r="N17" s="72" t="n"/>
    </row>
    <row r="18" ht="141.75" customHeight="1">
      <c r="B18" s="50" t="n">
        <v>14</v>
      </c>
      <c r="C18" s="51" t="inlineStr">
        <is>
          <t>EUR, NAR, CHN</t>
        </is>
      </c>
      <c r="D18" s="51" t="inlineStr">
        <is>
          <t>Low</t>
        </is>
      </c>
      <c r="E18" s="52" t="n">
        <v>4</v>
      </c>
      <c r="F18" s="67" t="inlineStr">
        <is>
          <t xml:space="preserve">Verify Remote Lock functionality when Fob Keys are left inside the vehicle </t>
        </is>
      </c>
      <c r="G18" s="67" t="inlineStr">
        <is>
          <t>• The screen focus is in "My Bentley App - DASHBOARD" page
( My Bentley App --&gt; LOGIN OR REGISTER --&gt; Email --&gt; Enter valid email id --&gt; NEXT --&gt; Enter the Password --&gt; NEXT --&gt; Vehicle "DASHBOARD" Screen )</t>
        </is>
      </c>
      <c r="H18" s="53" t="inlineStr">
        <is>
          <t>• Keep the Fob Key inside the vehicle
• Vehicle is unlocked
• Ignition is OFF</t>
        </is>
      </c>
      <c r="I18" s="53" t="inlineStr">
        <is>
          <t xml:space="preserve">Tap on 'Lock' button --&gt; Enter SPIN  </t>
        </is>
      </c>
      <c r="J1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8" s="51" t="n"/>
      <c r="L18" s="54" t="n"/>
      <c r="M18" s="71" t="n"/>
      <c r="N18" s="72" t="n"/>
    </row>
    <row r="19" ht="110.25" customHeight="1">
      <c r="B19" s="50" t="n">
        <v>15</v>
      </c>
      <c r="C19" s="51" t="inlineStr">
        <is>
          <t>EUR, NAR, CHN</t>
        </is>
      </c>
      <c r="D19" s="51" t="inlineStr">
        <is>
          <t>Low</t>
        </is>
      </c>
      <c r="E19" s="52" t="n">
        <v>4</v>
      </c>
      <c r="F19" s="67" t="inlineStr">
        <is>
          <t xml:space="preserve">Verify Remote Unlock functionality when Fob Keys are left inside the vehicle </t>
        </is>
      </c>
      <c r="G19" s="67" t="inlineStr">
        <is>
          <t>• The screen focus is in "My Bentley App - DASHBOARD" page
( My Bentley App --&gt; LOGIN OR REGISTER --&gt; Email --&gt; Enter valid email id --&gt; NEXT --&gt; Enter the Password --&gt; NEXT --&gt; Vehicle "DASHBOARD" Screen )</t>
        </is>
      </c>
      <c r="H19" s="53" t="inlineStr">
        <is>
          <t>• Keep the Fob Key inside the vehicle
• Vehicle is locked
• Ignition is OFF</t>
        </is>
      </c>
      <c r="I19" s="53" t="inlineStr">
        <is>
          <t xml:space="preserve">Tap on 'Unlock' button --&gt; Enter SPIN </t>
        </is>
      </c>
      <c r="J19" s="53" t="inlineStr">
        <is>
          <t>1. The action should performed and Door disarming alarm should be played.
2. App should be notified with an appropriate  message (e.g. response as 'Vehicle is successfully unlocked'  [relevant message])
3. The status of the lock should be updated simultaneously</t>
        </is>
      </c>
      <c r="K19" s="51" t="n"/>
      <c r="L19" s="54" t="n"/>
      <c r="M19" s="71" t="n"/>
      <c r="N19" s="72" t="n"/>
    </row>
    <row r="20" ht="141.75" customHeight="1">
      <c r="B20" s="50" t="n">
        <v>16</v>
      </c>
      <c r="C20" s="51" t="inlineStr">
        <is>
          <t>EUR, NAR, CHN</t>
        </is>
      </c>
      <c r="D20" s="51" t="inlineStr">
        <is>
          <t>Low</t>
        </is>
      </c>
      <c r="E20" s="52" t="n">
        <v>4</v>
      </c>
      <c r="F20" s="67" t="inlineStr">
        <is>
          <t xml:space="preserve">Verify Remote Lock functionality when Vehicle is locked by Fob Keys </t>
        </is>
      </c>
      <c r="G20" s="67" t="inlineStr">
        <is>
          <t>• The screen focus is in "My Bentley App - DASHBOARD" page
( My Bentley App --&gt; LOGIN OR REGISTER --&gt; Email --&gt; Enter valid email id --&gt; NEXT --&gt; Enter the Password --&gt; NEXT --&gt; Vehicle "DASHBOARD" Screen )</t>
        </is>
      </c>
      <c r="H20" s="53" t="inlineStr">
        <is>
          <t>• Vehicle is unlocked
• Ignition is OFF</t>
        </is>
      </c>
      <c r="I20" s="53" t="inlineStr">
        <is>
          <t xml:space="preserve">Tap on 'Lock' button --&gt; Enter SPIN  </t>
        </is>
      </c>
      <c r="J20"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20" s="51" t="n"/>
      <c r="L20" s="54" t="n"/>
      <c r="M20" s="71" t="n"/>
      <c r="N20" s="72" t="n"/>
    </row>
    <row r="21" ht="110.25" customHeight="1">
      <c r="B21" s="50" t="n">
        <v>17</v>
      </c>
      <c r="C21" s="51" t="inlineStr">
        <is>
          <t>EUR, NAR, CHN</t>
        </is>
      </c>
      <c r="D21" s="51" t="inlineStr">
        <is>
          <t>Low</t>
        </is>
      </c>
      <c r="E21" s="52" t="n">
        <v>5</v>
      </c>
      <c r="F21" s="67" t="inlineStr">
        <is>
          <t xml:space="preserve">Access to Remote Lock/unlock functionalities when Privacy mode is ON </t>
        </is>
      </c>
      <c r="G21" s="53" t="inlineStr">
        <is>
          <t>• The screen focus is in "My Bentley App - DASHBOARD" page
( My Bentley App --&gt; LOGIN OR REGISTER --&gt; Email --&gt; Enter valid email id --&gt; NEXT --&gt; Enter the Password --&gt; NEXT --&gt; Vehicle "DASHBOARD" Screen )</t>
        </is>
      </c>
      <c r="H21" s="53" t="inlineStr">
        <is>
          <t>• Privacy Mode is ON in HMI</t>
        </is>
      </c>
      <c r="I21" s="53" t="inlineStr">
        <is>
          <t xml:space="preserve">Scroll up/down and check the status of the Lock and Unlock services. </t>
        </is>
      </c>
      <c r="J21" s="53" t="inlineStr">
        <is>
          <t>1. The Remote locking service should be disabled(Greyed out).
2. Lock and Unlock button should not be accessible.</t>
        </is>
      </c>
      <c r="K21" s="51" t="n"/>
      <c r="L21" s="54" t="n"/>
      <c r="M21" s="71" t="n"/>
      <c r="N21" s="72" t="n"/>
    </row>
    <row r="22" ht="110.25" customHeight="1">
      <c r="B22" s="50" t="n">
        <v>18</v>
      </c>
      <c r="C22" s="51" t="inlineStr">
        <is>
          <t>EUR, NAR, CHN</t>
        </is>
      </c>
      <c r="D22" s="51" t="inlineStr">
        <is>
          <t>Low</t>
        </is>
      </c>
      <c r="E22" s="52" t="n">
        <v>4</v>
      </c>
      <c r="F22" s="67" t="inlineStr">
        <is>
          <t xml:space="preserve">Access to Remote Lock/unlock functionalities when Privacy mode is Off </t>
        </is>
      </c>
      <c r="G22" s="53" t="inlineStr">
        <is>
          <t>• The screen focus is in "My Bentley App - DASHBOARD" page
( My Bentley App --&gt; LOGIN OR REGISTER --&gt; Email --&gt; Enter valid email id --&gt; NEXT --&gt; Enter the Password --&gt; NEXT --&gt; Vehicle "DASHBOARD" Screen )</t>
        </is>
      </c>
      <c r="H22" s="53" t="inlineStr">
        <is>
          <t>• Privacy Mode is OFF in HMI</t>
        </is>
      </c>
      <c r="I22" s="53" t="inlineStr">
        <is>
          <t xml:space="preserve">Scroll up/down and check the status of the Lock and Unlock services. </t>
        </is>
      </c>
      <c r="J22" s="53" t="inlineStr">
        <is>
          <t>1. The Remote locking service should be enabled
2. Lock and Unlock button should be accessible.</t>
        </is>
      </c>
      <c r="K22" s="51" t="n"/>
      <c r="L22" s="54" t="n"/>
      <c r="M22" s="71" t="n"/>
      <c r="N22" s="72" t="n"/>
    </row>
    <row r="23" ht="32.25" customHeight="1" thickBot="1">
      <c r="B23" s="59" t="n">
        <v>19</v>
      </c>
      <c r="C23" s="60" t="inlineStr">
        <is>
          <t>EUR, NAR, CHN</t>
        </is>
      </c>
      <c r="D23" s="60" t="inlineStr">
        <is>
          <t>Medium</t>
        </is>
      </c>
      <c r="E23" s="61" t="n">
        <v>5</v>
      </c>
      <c r="F23" s="62" t="inlineStr">
        <is>
          <t>Verify all the screen with Bentley style guide.</t>
        </is>
      </c>
      <c r="G23" s="62" t="inlineStr">
        <is>
          <t>• N/A</t>
        </is>
      </c>
      <c r="H23" s="53" t="n"/>
      <c r="I23" s="62" t="inlineStr">
        <is>
          <t>Observe all the screen's icon, font, colour</t>
        </is>
      </c>
      <c r="J23" s="62" t="inlineStr">
        <is>
          <t>All the icon, font, colour should be followed as per Bentley style guide.</t>
        </is>
      </c>
      <c r="K23" s="62" t="n"/>
      <c r="L23" s="63" t="n"/>
      <c r="M23" s="62" t="n"/>
      <c r="N23" s="64" t="n"/>
    </row>
  </sheetData>
  <mergeCells count="3">
    <mergeCell ref="F3:M3"/>
    <mergeCell ref="B2:M2"/>
    <mergeCell ref="B3:C3"/>
  </mergeCells>
  <conditionalFormatting sqref="K5:K10">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23">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3 L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16" zoomScale="70" zoomScaleNormal="70" workbookViewId="0">
      <selection activeCell="H9" sqref="H9"/>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54.140625" customWidth="1" style="1" min="10" max="10"/>
    <col width="13.140625" customWidth="1" style="1" min="11" max="11"/>
    <col width="19.42578125" customWidth="1" style="2" min="12" max="12"/>
    <col width="18.85546875" customWidth="1" style="2" min="13" max="13"/>
    <col width="17.5703125" customWidth="1" style="2" min="14" max="14"/>
    <col width="8.7109375" customWidth="1" style="2" min="15" max="36"/>
    <col width="8.7109375" customWidth="1" style="2" min="37" max="16384"/>
  </cols>
  <sheetData>
    <row r="1" ht="16.5" customHeight="1" thickBot="1"/>
    <row r="2" ht="29.25" customHeight="1" thickBot="1">
      <c r="B2" s="227" t="inlineStr">
        <is>
          <t>Remote Honk &amp; Flash</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40"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B5" s="127" t="n">
        <v>1</v>
      </c>
      <c r="C5" s="117" t="inlineStr">
        <is>
          <t>CHN</t>
        </is>
      </c>
      <c r="D5" s="117" t="inlineStr">
        <is>
          <t>High</t>
        </is>
      </c>
      <c r="E5" s="118" t="n">
        <v>2</v>
      </c>
      <c r="F5" s="119" t="inlineStr">
        <is>
          <t>Verifying 'Honk' &amp; 'Flash' button status in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Check for 'FLASH' button in 'DASHBOARD' screen
2. Check for 'HONK' button in 'DASHBOARD' screen</t>
        </is>
      </c>
      <c r="J5" s="120" t="inlineStr">
        <is>
          <t>1. The 'FLASH' button should be displayed with Light symbol.
2. The 'HONK' button should be displayed with Horn symbol.</t>
        </is>
      </c>
      <c r="K5" s="120" t="n"/>
      <c r="L5" s="121" t="n"/>
      <c r="M5" s="120" t="n"/>
      <c r="N5" s="122"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topLeftCell="A7" zoomScale="90" zoomScaleNormal="90" workbookViewId="0">
      <selection activeCell="G6" sqref="G6"/>
    </sheetView>
  </sheetViews>
  <sheetFormatPr baseColWidth="8" defaultColWidth="8.7109375" defaultRowHeight="15"/>
  <cols>
    <col width="2.85546875" customWidth="1" min="1" max="1"/>
    <col width="6.140625" customWidth="1" style="12" min="2" max="2"/>
    <col width="19" customWidth="1" style="12" min="3" max="3"/>
    <col width="24.85546875" customWidth="1" style="12" min="4" max="4"/>
    <col width="11.28515625" customWidth="1" style="39" min="5" max="5"/>
    <col width="34.140625" customWidth="1" min="6" max="6"/>
    <col width="46.140625" customWidth="1" min="7" max="7"/>
    <col width="39.7109375" customWidth="1" min="8" max="8"/>
    <col width="58.140625" customWidth="1" style="12" min="9" max="9"/>
    <col width="61.28515625" customWidth="1" style="12" min="10" max="10"/>
    <col width="13.140625" customWidth="1" style="12" min="11" max="11"/>
    <col width="19.42578125" customWidth="1" min="12" max="12"/>
    <col width="18.85546875" customWidth="1" min="13" max="13"/>
    <col width="17.710937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Car Statistics</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2</v>
      </c>
      <c r="F5" s="120" t="inlineStr">
        <is>
          <t>Accessing My Car Statistics</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Clearly focus on 'MY CAR STATISTICS' section under CAR REMOTE screen</t>
        </is>
      </c>
      <c r="J5" s="120" t="inlineStr">
        <is>
          <t>'MY CAR STATISTICS' section under CAR REMOTE screen should display :  
a. Last Trip Date &amp; Time Information</t>
        </is>
      </c>
      <c r="K5" s="117" t="n"/>
      <c r="L5" s="121" t="n"/>
      <c r="M5" s="120" t="n"/>
      <c r="N5" s="172"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4"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5"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4"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4"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4"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4"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4" t="n"/>
    </row>
    <row r="13" ht="173.25" customFormat="1" customHeight="1" s="2">
      <c r="B13" s="50" t="n">
        <v>9</v>
      </c>
      <c r="C13" s="51" t="inlineStr">
        <is>
          <t>EUR, NAR, CHN</t>
        </is>
      </c>
      <c r="D13" s="51" t="inlineStr">
        <is>
          <t>Medium</t>
        </is>
      </c>
      <c r="E13" s="52" t="n">
        <v>7</v>
      </c>
      <c r="F13" s="53" t="inlineStr">
        <is>
          <t>Verify Single Service Activation / Deactivation of 'My Car Statistics' service in SERVICE MANAGEMENT screen</t>
        </is>
      </c>
      <c r="G13" s="53" t="inlineStr">
        <is>
          <t>• The screen focus is in "My Bentley App - SERVICE MANAGEMENT" page
(My Bentley App --&gt;SIGN IN --&gt; Vehicle "DASHBOARD" Screen --&gt;  Select "i" icon --&gt; SERVICE MANAGEMENT screen)</t>
        </is>
      </c>
      <c r="H13" s="53" t="n"/>
      <c r="I13" s="53" t="inlineStr">
        <is>
          <t>1. In 'SERVICE MANAGEMENT' screen,  Select 'MY CAR STATISTICS' = Activate / Deactivate
2. Go to CAR REMOTE screen and check the 'MY CAR STATISTICS' section</t>
        </is>
      </c>
      <c r="J13"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3" s="53" t="n"/>
      <c r="L13" s="54" t="n"/>
      <c r="M13" s="107" t="n"/>
      <c r="N13" s="108" t="n"/>
    </row>
    <row r="14" ht="120" customHeight="1">
      <c r="B14" s="50" t="n">
        <v>10</v>
      </c>
      <c r="C14" s="51" t="inlineStr">
        <is>
          <t>EUR , NAR , CHN</t>
        </is>
      </c>
      <c r="D14" s="51" t="inlineStr">
        <is>
          <t>High</t>
        </is>
      </c>
      <c r="E14" s="52" t="n">
        <v>10</v>
      </c>
      <c r="F14" s="53" t="inlineStr">
        <is>
          <t>Verify accessing of  'MY CAR STATISTICS' Service when max privacy is activated</t>
        </is>
      </c>
      <c r="G14" s="53" t="n"/>
      <c r="H14" s="53" t="inlineStr">
        <is>
          <t>• Activation of Privacy Mode ( Full Privacy Mode = ON) ( HU HMI --&gt; Settings --&gt; Privacy --&gt; Activate Privacy Mode(Activate Privacy Mode = ON :: Online Services : Use Personal Data = OFF  , Use Vehicle Position = OFF &amp; Share Vehicle Position = OFF )</t>
        </is>
      </c>
      <c r="I14" s="16" t="inlineStr">
        <is>
          <t xml:space="preserve">1. Sign In to My Bentley App and check for 'MY CAR STATISTICS' service in Car Remote Screen when max privacy is enabled
( My Bentley App --&gt; LOGIN OR REGISTER --&gt; Email --&gt; Enter valid email id --&gt; NEXT --&gt; Enter the Password --&gt; NEXT --&gt; Vehicle 'DASHBOARD' Screen --&gt;  Launch 'CAR REMOTE' screen(i.e. Second Tab present in Footer Screen from left) )
</t>
        </is>
      </c>
      <c r="J14" s="53" t="inlineStr">
        <is>
          <t xml:space="preserve">'MY CAR STATISTICS' service should not be accessible  i.e. Relevant Icons should be greyed out when max privacy is enabled)
</t>
        </is>
      </c>
      <c r="K14" s="53" t="n"/>
      <c r="L14" s="54" t="n"/>
      <c r="M14" s="53" t="n"/>
      <c r="N14" s="55" t="n"/>
    </row>
    <row r="15" ht="157.5" customHeight="1">
      <c r="B15" s="50" t="n">
        <v>11</v>
      </c>
      <c r="C15" s="51" t="inlineStr">
        <is>
          <t>EUR , NAR , CHN</t>
        </is>
      </c>
      <c r="D15" s="51" t="inlineStr">
        <is>
          <t>High</t>
        </is>
      </c>
      <c r="E15" s="52" t="n">
        <v>10</v>
      </c>
      <c r="F15" s="53" t="inlineStr">
        <is>
          <t>Verify whether 'MY CAR STATISTICS' Service in My Bentley App can be accessed when partial privacy is activated(i.e. Share Vehicle Position = OFF)</t>
        </is>
      </c>
      <c r="G15" s="53" t="n"/>
      <c r="H15" s="53" t="inlineStr">
        <is>
          <t>• Activation of Privacy Mode (Activate Privacy Mode = OFF :: Use Personal Data = ON , Use Vehicle Position = ON &amp; Share Vehicle Position = OFF) ( vehicle HMI --&gt; Settings --&gt; Privacy --&gt; Activate Privacy Mode(Activate Privacy Mode = OFF :: Online Services : Use Personal Data = ON  , Use Vehicle Position = ON &amp; Share Vehicle Position = OFF )</t>
        </is>
      </c>
      <c r="I15" s="16" t="inlineStr">
        <is>
          <t xml:space="preserve">1. Sign In to My Bentley App and check for 'MY CAR STATISTICS' section under 'CAR REMOTE' screen when only 'Share Vehicle Position' privacy settings is set to 'OFF' from HMI
( My Bentley App --&gt; LOGIN OR REGISTER --&gt; Email --&gt; Enter valid email id --&gt; NEXT --&gt; Enter the Password --&gt; NEXT --&gt; Vehicle 'DASHBOARD' Screen --&gt;  Launch 'CAR REMOTE' screen(i.e. Second Tab present in Footer Screen from left) )
</t>
        </is>
      </c>
      <c r="J15" s="16" t="inlineStr">
        <is>
          <t>1. 'MY CAR STATISTICS' section under 'CAR REMOTE' screen should not be disabled or greyed out when only 'Share Vehicle Position' privacy settings is set to 'OFF' from HMI</t>
        </is>
      </c>
      <c r="K15" s="53" t="n"/>
      <c r="L15" s="54" t="n"/>
      <c r="M15" s="53" t="n"/>
      <c r="N15" s="55" t="n"/>
    </row>
    <row r="16" ht="126" customFormat="1" customHeight="1" s="42">
      <c r="B16" s="50" t="n">
        <v>12</v>
      </c>
      <c r="C16" s="51" t="inlineStr">
        <is>
          <t>EUR, 
NAR,
CHN</t>
        </is>
      </c>
      <c r="D16" s="51" t="inlineStr">
        <is>
          <t>High</t>
        </is>
      </c>
      <c r="E16" s="52" t="n">
        <v>5</v>
      </c>
      <c r="F16" s="190" t="inlineStr">
        <is>
          <t>Verifying the unit type in My Car Statistics screen by changing unit under Units screen of My Bentley App</t>
        </is>
      </c>
      <c r="G16" s="190" t="inlineStr">
        <is>
          <t>The focus of the screen is on Units page. 
(Login My Bentley App -- &gt;User Profile icon --&gt; Gear icon--&gt; Units)</t>
        </is>
      </c>
      <c r="H16" s="53" t="inlineStr">
        <is>
          <t>• Deactivation of Privacy Mode (Activate Privacy Mode = OFF :: Use Personal Data = ON , Use Vehicle Position = ON &amp; Share Vehicle Position = ON)</t>
        </is>
      </c>
      <c r="I16" s="190" t="inlineStr">
        <is>
          <t>1. Change the  metrics / imperial units in 'Units' screen for the below sections : 
a. UNITS
b. ELECTRIC CONSUMPTION
c. CONSUMPTION
d. PRESSURE  
2. Observe in MY CAR STATISTICS graphs in ( Car Remote  -- &gt; MY CAR STATISTICS screen )</t>
        </is>
      </c>
      <c r="J16" s="53" t="inlineStr">
        <is>
          <t>1. User should be able to change to metrics / imperial units successfully
2. The selected metrics / imperial units should be visible in Graphical &amp; List view in MY CAR STATISTICS screen</t>
        </is>
      </c>
      <c r="K16" s="191" t="n"/>
      <c r="L16" s="54" t="n"/>
      <c r="M16" s="192" t="n"/>
      <c r="N16" s="134" t="n"/>
    </row>
    <row r="17" ht="32.25" customFormat="1" customHeight="1" s="2"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7">
    <cfRule type="cellIs" priority="7" operator="equal" dxfId="0">
      <formula>"Pass"</formula>
    </cfRule>
  </conditionalFormatting>
  <conditionalFormatting sqref="L5:L13">
    <cfRule type="cellIs" priority="52" operator="equal" dxfId="1">
      <formula>"Fail"</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onditionalFormatting>
  <conditionalFormatting sqref="L13">
    <cfRule type="cellIs" priority="43" operator="equal" dxfId="10">
      <formula>"Not Tested"</formula>
    </cfRule>
    <cfRule type="cellIs" priority="44" operator="equal" dxfId="9">
      <formula>"Not Applicable"</formula>
    </cfRule>
    <cfRule type="cellIs" priority="45" operator="equal" dxfId="229">
      <formula>"Fail"</formula>
    </cfRule>
  </conditionalFormatting>
  <conditionalFormatting sqref="L14:L17">
    <cfRule type="cellIs" priority="6" operator="equal" dxfId="1">
      <formula>"Fail"</formula>
    </cfRule>
  </conditionalFormatting>
  <dataValidations count="2">
    <dataValidation sqref="K13" showDropDown="0" showInputMessage="1" showErrorMessage="1" allowBlank="1" type="list">
      <formula1>"Pass,Fail,Not Applicable,Not Tested"</formula1>
    </dataValidation>
    <dataValidation sqref="L5: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30"/>
  <sheetViews>
    <sheetView topLeftCell="A10" zoomScale="80" zoomScaleNormal="80" workbookViewId="0">
      <selection activeCell="J24" sqref="J24"/>
    </sheetView>
  </sheetViews>
  <sheetFormatPr baseColWidth="8" defaultColWidth="8.7109375" defaultRowHeight="15"/>
  <cols>
    <col width="3" customWidth="1" min="1" max="1"/>
    <col width="7.140625" bestFit="1" customWidth="1" style="12" min="2" max="2"/>
    <col width="22.42578125" customWidth="1" style="12" min="3" max="3"/>
    <col width="9.85546875" customWidth="1" style="12" min="4" max="4"/>
    <col width="11.28515625" customWidth="1" style="39" min="5" max="5"/>
    <col width="52.140625" customWidth="1" min="6" max="6"/>
    <col width="41.85546875" customWidth="1" min="7" max="7"/>
    <col width="45.85546875" customWidth="1" min="8" max="8"/>
    <col width="53.140625" customWidth="1" style="12" min="9" max="9"/>
    <col width="47.140625" customWidth="1" style="12" min="10" max="10"/>
    <col width="13.140625" customWidth="1" style="12" min="11" max="11"/>
    <col width="19.42578125" customWidth="1" min="12" max="12"/>
    <col width="18.85546875" customWidth="1" min="13" max="13"/>
    <col width="15.42578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Cabin Comfort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25" t="n"/>
      <c r="H3" s="225" t="n"/>
      <c r="I3" s="225" t="n"/>
      <c r="J3" s="225" t="n"/>
      <c r="K3" s="225" t="n"/>
      <c r="L3" s="225" t="n"/>
      <c r="M3" s="226" t="n"/>
    </row>
    <row r="4" ht="48"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26" customHeight="1">
      <c r="A5" s="2" t="n"/>
      <c r="B5" s="127" t="n">
        <v>1</v>
      </c>
      <c r="C5" s="117" t="inlineStr">
        <is>
          <t>EUR, 
NAR,
CHN</t>
        </is>
      </c>
      <c r="D5" s="117" t="inlineStr">
        <is>
          <t>Medium</t>
        </is>
      </c>
      <c r="E5" s="118" t="n">
        <v>3</v>
      </c>
      <c r="F5" s="120" t="inlineStr">
        <is>
          <t>Verifying the status of 'MY CABIN COMFORT' in CAR REMOTE screen of My Bentley App</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Check the status of 'MY CABIN COMFORT' under CAR REMOTE screen</t>
        </is>
      </c>
      <c r="J5" s="120" t="inlineStr">
        <is>
          <t>The status should be displayed as 'Not Active' under 'MY CABIN COMFORT' section of CAR REMOTE screen</t>
        </is>
      </c>
      <c r="K5" s="117" t="n"/>
      <c r="L5" s="121" t="n"/>
      <c r="M5" s="120" t="n"/>
      <c r="N5" s="193"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4"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t>
        </is>
      </c>
      <c r="H8" s="53" t="inlineStr">
        <is>
          <t>• The vehicle should support rear seat heating</t>
        </is>
      </c>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41.7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t>
        </is>
      </c>
      <c r="H9" s="53" t="inlineStr">
        <is>
          <t>• The vehicle should support rear seat heating</t>
        </is>
      </c>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0" s="53" t="inlineStr">
        <is>
          <t>• The vehicle should support rear seat heating
• Vehicle Ignition = Off
• Make sure at least 30% of Fuel to be present in Fuel Tank
• Interior surface heating = Off</t>
        </is>
      </c>
      <c r="I10" s="53" t="inlineStr">
        <is>
          <t>1. Set the Target Temperature Bar to some desired value in the range between 16degC to 26degC with 1degC increments / decrements
2.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1" s="53" t="inlineStr">
        <is>
          <t>• The vehicle should support rear seat heating
• Vehicle Ignition = Off
• Make sure at least 30% of Fuel to be present in Fuel Tank
• Interior surface heating = Off</t>
        </is>
      </c>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2" s="53" t="inlineStr">
        <is>
          <t>• The vehicle should support rear seat heating
• Vehicle Ignition = Off
• Make sure at least 30% of Fuel to be present in Fuel Tank
• Interior surface heating = Off</t>
        </is>
      </c>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3" s="53" t="inlineStr">
        <is>
          <t>• The vehicle should support rear seat heating
• Vehicle Ignition = Off
• Make sure at least 30% of Fuel to be present in Fuel Tank
• Interior surface heating = Off</t>
        </is>
      </c>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4" s="53" t="inlineStr">
        <is>
          <t>• The vehicle should support rear seat heating
• Vehicle Ignition = Off
• Make sure at least 30% of Fuel to be present in Fuel Tank
• Interior surface heating = Off</t>
        </is>
      </c>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5" s="53" t="inlineStr">
        <is>
          <t>• The vehicle should support rear seat heating
• Vehicle Ignition = Off
• Make sure at least 30% of Fuel to be present in Fuel Tank
• Interior surface heating = Off</t>
        </is>
      </c>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189"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t>
        </is>
      </c>
      <c r="H16" s="53" t="inlineStr">
        <is>
          <t>• The vehicle should support rear seat heating
• Vehicle Ignition = Off
• Make sure at least 30% of Fuel to be present in Fuel Tank
•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t>
        </is>
      </c>
      <c r="H18" s="53" t="inlineStr">
        <is>
          <t>• The vehicle should support rear seat heating</t>
        </is>
      </c>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4"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t>
        </is>
      </c>
      <c r="H19" s="53" t="inlineStr">
        <is>
          <t>• Ignition = Off
• Make sure at least 30% of Fuel to be present in Fuel Tank
• Make sure that 'Interior surface heating' is disabled under 'Quick start' tab
• Make sure that 'Interior surface heating' is disabled under 'SETTINGS - Set timer' tab</t>
        </is>
      </c>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4"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t>
        </is>
      </c>
      <c r="H20" s="53" t="inlineStr">
        <is>
          <t>• Ignition = Off
• Make sure at least 30% of Fuel to be present in Fuel Tank
• Make sure that 'Interior surface heating' is enabled under 'Quick start' tab
• Make sure that 'Interior surface heating' is enabled under 'SETTINGS - Set timer' tab
• Make sure that 'Target Temperature' is set in range 16degC to 26degC with 1degC step increments / decrements
•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4"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4"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4"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4"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inlineStr">
        <is>
          <t>• 'MY CABIN COMFORT' is active under 'Climate - Auxiliary climate' screen
      i.e. 'Immediate Start' section should display some informative message (Ex : Auxiliary air conditioning active - Time Left(Ex : 30 min remainging))</t>
        </is>
      </c>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4"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inlineStr">
        <is>
          <t>• Target temperature is already set in the range between 16degC to 26degC with 1degC increments / decrements under 'Target Temperature' section(Ex : 22degC)  from 'Climate - Settings' screen
• The desired seat is already selected for Seat Heating under 'Convenience auxiliary climate' section(Ex : Front Right Seat Zone) from 'Climate - Settings' screen</t>
        </is>
      </c>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4" t="n"/>
    </row>
    <row r="26" ht="141.7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t>
        </is>
      </c>
      <c r="H26" s="53" t="inlineStr">
        <is>
          <t>• Ignition = Off
• Make sure at least 30% of Fuel to be present in Fuel Tank</t>
        </is>
      </c>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4"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t>
        </is>
      </c>
      <c r="H27" s="53" t="inlineStr">
        <is>
          <t>• Ignition = Off
• Make sure at least 30% of Fuel to be present in Fuel Tank</t>
        </is>
      </c>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7" t="n"/>
      <c r="L27" s="57" t="n"/>
      <c r="M27" s="56" t="n"/>
      <c r="N27" s="138" t="n"/>
    </row>
    <row r="28" ht="220.5" customFormat="1" customHeight="1" s="2">
      <c r="B28" s="50" t="n">
        <v>24</v>
      </c>
      <c r="C28" s="51" t="inlineStr">
        <is>
          <t>EUR, NAR, CHN</t>
        </is>
      </c>
      <c r="D28" s="51" t="inlineStr">
        <is>
          <t>Medium</t>
        </is>
      </c>
      <c r="E28" s="52" t="n">
        <v>7</v>
      </c>
      <c r="F28" s="79" t="inlineStr">
        <is>
          <t>Verify Single Service Activation / Deactivation of 'MY CABIN COMFORT' service in SERVICE MANAGEMENT screen</t>
        </is>
      </c>
      <c r="G28" s="53" t="inlineStr">
        <is>
          <t>• The screen focus is in "My Bentley App - SERVICE MANAGEMENT" page
( My Bentley App --&gt; LOGIN OR REGISTER --&gt; Email --&gt; Enter valid email id --&gt; NEXT --&gt; Enter the Password --&gt; NEXT --&gt; Vehicle "DASHBOARD" Screen --&gt; Select "i" icon --&gt; SERVICE MANAGEMENT screen )</t>
        </is>
      </c>
      <c r="H28" s="53" t="n"/>
      <c r="I28" s="53" t="inlineStr">
        <is>
          <t>1. In 'SERVICE MANAGEMENT' screen,  Select 'MY CABIN COMFORT' = Activate / Deactivate
2. Go to CAR REMOTE screen and check the ''MY CABIN COMFORT'' section</t>
        </is>
      </c>
      <c r="J28"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28" s="53" t="n"/>
      <c r="L28" s="54" t="n"/>
      <c r="M28" s="107" t="n"/>
      <c r="N28" s="108" t="n"/>
    </row>
    <row r="29" ht="165" customHeight="1">
      <c r="B29" s="50" t="n">
        <v>25</v>
      </c>
      <c r="C29" s="51" t="inlineStr">
        <is>
          <t>EUR , NAR , CHN</t>
        </is>
      </c>
      <c r="D29" s="51" t="inlineStr">
        <is>
          <t>High</t>
        </is>
      </c>
      <c r="E29" s="52" t="n">
        <v>10</v>
      </c>
      <c r="F29" s="79" t="inlineStr">
        <is>
          <t>Verify accessing of 'MY CABIN COMFORT' Service when max privacy is activated</t>
        </is>
      </c>
      <c r="G29" s="53" t="inlineStr">
        <is>
          <t>• Activation of Privacy Mode ( Full Privacy Mode = ON)
( Vehicle HMI --&gt; Settings --&gt; Privacy --&gt; Activate Privacy Mode(Activate Privacy Mode = ON :: Online Services : Use Personal Data = OFF  , Use Vehicle Position = OFF &amp; Share Vehicle Position = OFF )</t>
        </is>
      </c>
      <c r="H29" s="53" t="n"/>
      <c r="I29"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29" s="53" t="inlineStr">
        <is>
          <t xml:space="preserve">'MY CABIN COMFORT' service should not be accessible  i.e. Relevant Icons should be greyed out when max privacy is enabled)
</t>
        </is>
      </c>
      <c r="K29" s="53" t="n"/>
      <c r="L29" s="54" t="n"/>
      <c r="M29" s="53" t="n"/>
      <c r="N29" s="55" t="n"/>
    </row>
    <row r="30" ht="48" customHeight="1" thickBot="1">
      <c r="B30" s="59" t="n">
        <v>26</v>
      </c>
      <c r="C30" s="60" t="inlineStr">
        <is>
          <t>EUR, 
NAR,
CHN</t>
        </is>
      </c>
      <c r="D30" s="60" t="inlineStr">
        <is>
          <t>Medium</t>
        </is>
      </c>
      <c r="E30" s="61" t="n">
        <v>5</v>
      </c>
      <c r="F30" s="62" t="inlineStr">
        <is>
          <t>Validating the screen with Bentley style guide.</t>
        </is>
      </c>
      <c r="G30" s="62" t="inlineStr">
        <is>
          <t>• N/A</t>
        </is>
      </c>
      <c r="H30" s="53" t="n"/>
      <c r="I30" s="62" t="inlineStr">
        <is>
          <t>Observe all the screen's icon, font, colour</t>
        </is>
      </c>
      <c r="J30" s="62" t="inlineStr">
        <is>
          <t>All the icon, font, colour should be followed as per Bentley style guide.</t>
        </is>
      </c>
      <c r="K30" s="60" t="n"/>
      <c r="L30" s="63" t="n"/>
      <c r="M30" s="62" t="n"/>
      <c r="N30" s="136" t="n"/>
    </row>
  </sheetData>
  <mergeCells count="3">
    <mergeCell ref="F3:M3"/>
    <mergeCell ref="B2:M2"/>
    <mergeCell ref="B3:C3"/>
  </mergeCells>
  <conditionalFormatting sqref="K5:K3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30">
    <cfRule type="cellIs" priority="7" operator="equal" dxfId="0">
      <formula>"Pass"</formula>
    </cfRule>
  </conditionalFormatting>
  <conditionalFormatting sqref="L5:L3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2">
    <dataValidation sqref="K28" showDropDown="0" showInputMessage="1" showErrorMessage="1" allowBlank="1" type="list">
      <formula1>"Pass,Fail,Not Applicable,Not Tested"</formula1>
    </dataValidation>
    <dataValidation sqref="L5:L25 L28:L3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7"/>
  <sheetViews>
    <sheetView topLeftCell="A10" zoomScale="70" zoomScaleNormal="70" workbookViewId="0">
      <selection activeCell="F12" sqref="F12"/>
    </sheetView>
  </sheetViews>
  <sheetFormatPr baseColWidth="8" defaultColWidth="8.7109375" defaultRowHeight="15.75"/>
  <cols>
    <col width="2.42578125" customWidth="1" style="2" min="1" max="1"/>
    <col width="6.140625" customWidth="1" style="2" min="2" max="2"/>
    <col width="21.85546875" customWidth="1" style="8" min="3" max="3"/>
    <col width="18.42578125" customWidth="1" style="2" min="4" max="4"/>
    <col width="11.28515625" customWidth="1" style="36" min="5" max="5"/>
    <col width="68.140625" customWidth="1" style="2" min="6" max="6"/>
    <col width="43.7109375" customWidth="1" style="2" min="7" max="7"/>
    <col width="50.5703125" customWidth="1" style="2" min="8" max="8"/>
    <col width="56.85546875" customWidth="1" style="1" min="9" max="9"/>
    <col width="53.140625" customWidth="1" style="1" min="10" max="10"/>
    <col width="13.140625" customWidth="1" style="1" min="11" max="11"/>
    <col width="19.42578125" customWidth="1" style="2" min="12" max="12"/>
    <col width="18.85546875" customWidth="1" min="13" max="13"/>
    <col width="16.85546875" customWidth="1" style="2" min="14" max="14"/>
    <col width="8.7109375" customWidth="1" style="2" min="15" max="36"/>
    <col width="8.7109375" customWidth="1" style="2" min="37" max="16384"/>
  </cols>
  <sheetData>
    <row r="1" ht="16.5" customHeight="1" thickBot="1"/>
    <row r="2" ht="29.25" customHeight="1" thickBot="1">
      <c r="B2" s="240" t="inlineStr">
        <is>
          <t>My Battery Charge</t>
        </is>
      </c>
      <c r="C2" s="228" t="n"/>
      <c r="D2" s="228" t="n"/>
      <c r="E2" s="228" t="n"/>
      <c r="F2" s="228" t="n"/>
      <c r="G2" s="228" t="n"/>
      <c r="H2" s="228" t="n"/>
      <c r="I2" s="228" t="n"/>
      <c r="J2" s="228" t="n"/>
      <c r="K2" s="228" t="n"/>
      <c r="L2" s="228" t="n"/>
      <c r="M2" s="233" t="n"/>
    </row>
    <row r="3" ht="16.5" customHeight="1" thickBot="1">
      <c r="B3" s="241" t="inlineStr">
        <is>
          <t>Precondition</t>
        </is>
      </c>
      <c r="C3" s="225" t="n"/>
      <c r="D3" s="31" t="n"/>
      <c r="E3" s="33" t="n"/>
      <c r="F3" s="239"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9" t="inlineStr">
        <is>
          <t>Verify 'MY BATTERY CHARGE' section in CAR REMOTE screen</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Observe the 'MY BATTERY CHARGE' section</t>
        </is>
      </c>
      <c r="J5" s="120" t="inlineStr">
        <is>
          <t>Under CAR REMOTE screen of 'MY BATTERY CHARGE' section :
1. Title : MY BATTERY CHARGE
2. Image : Vehicle Connected to Charger Image to be displayed
3. Battery Charge Status : “Active - Time” / 'Not Active' /  'Error'</t>
        </is>
      </c>
      <c r="K5" s="18" t="n"/>
      <c r="L5" s="23" t="n"/>
      <c r="M5" s="22" t="n"/>
      <c r="N5" s="199"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t>
        </is>
      </c>
      <c r="H6" s="53" t="inlineStr">
        <is>
          <t>• Ignition = Off
•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7" s="53" t="inlineStr">
        <is>
          <t>• Ignition = Off
•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8" s="53" t="inlineStr">
        <is>
          <t>• Ignition = Off
•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0" s="53" t="inlineStr">
        <is>
          <t>• Ignition = Off
• In Port Charger should be connected to AC Mains
• Make sure that car there is no RBC Charge Timer scheduled
• Make sure at least 30% of Fuel to be present in Fuel Tank</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 (Set first of two timers always)</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26"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2" s="53" t="inlineStr">
        <is>
          <t>• Ignition = Off
•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41.7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t>
        </is>
      </c>
      <c r="H13" s="53" t="inlineStr">
        <is>
          <t>• Ensure vehicle has some fuel in the tank some charge in the PHEV/BEV traction battery.
• Ignition off
• Note the fuel level in the gauge in the kombi. 
• Note the range value in the kombi</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189" customHeight="1">
      <c r="B16" s="4" t="n">
        <v>12</v>
      </c>
      <c r="C16" s="7" t="inlineStr">
        <is>
          <t>EUR , NAR , CHN</t>
        </is>
      </c>
      <c r="D16" s="7" t="inlineStr">
        <is>
          <t>High</t>
        </is>
      </c>
      <c r="E16" s="34" t="n">
        <v>10</v>
      </c>
      <c r="F16" s="79" t="inlineStr">
        <is>
          <t>Verify accessing of 'MY BATTERY CHARGE' Service when max privacy is activated</t>
        </is>
      </c>
      <c r="G16" s="53" t="n"/>
      <c r="H16" s="53" t="inlineStr">
        <is>
          <t>• Activation of Privacy Mode ( Full Privacy Mode = ON)
( Vehicle HMI --&gt; Settings --&gt; Privacy --&gt; Activate Privacy Mode(Activate Privacy Mode = ON :: Online Services : Use Personal Data = OFF  , Use Vehicle Position = OFF &amp; Share Vehicle Position = OFF )</t>
        </is>
      </c>
      <c r="I16"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16" s="53" t="inlineStr">
        <is>
          <t xml:space="preserve">'MY BATTERY CHARGE' service should not be accessible  i.e. Relevant Icons should be greyed out when max privacy is enabled)
</t>
        </is>
      </c>
      <c r="K16" s="3" t="n"/>
      <c r="L16" s="9" t="n"/>
      <c r="M16" s="3" t="n"/>
      <c r="N16" s="13" t="n"/>
    </row>
    <row r="17" ht="32.25" customHeight="1"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3">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K16: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topLeftCell="A5" zoomScale="60" zoomScaleNormal="60" workbookViewId="0">
      <selection activeCell="F12" sqref="F12"/>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60.140625" customWidth="1" style="2" min="8" max="8"/>
    <col width="63" customWidth="1" style="1" min="9" max="9"/>
    <col width="49.140625" customWidth="1" style="1" min="10" max="10"/>
    <col width="13.140625" customWidth="1" style="1" min="11" max="11"/>
    <col width="19.42578125" customWidth="1" style="2" min="12" max="12"/>
    <col width="18.85546875" customWidth="1" style="2" min="13" max="13"/>
    <col width="16.85546875" customWidth="1" style="2" min="14" max="14"/>
    <col width="8.7109375" customWidth="1" style="2" min="15" max="36"/>
    <col width="8.7109375" customWidth="1" style="2" min="37" max="16384"/>
  </cols>
  <sheetData>
    <row r="1" ht="16.5" customHeight="1" thickBot="1"/>
    <row r="2" ht="29.25" customHeight="1" thickBot="1">
      <c r="B2" s="227" t="inlineStr">
        <is>
          <t>Service Management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283.5" customHeight="1">
      <c r="B5" s="127" t="n">
        <v>1</v>
      </c>
      <c r="C5" s="117" t="inlineStr">
        <is>
          <t>EUR, NAR, CHN</t>
        </is>
      </c>
      <c r="D5" s="117" t="inlineStr">
        <is>
          <t>High</t>
        </is>
      </c>
      <c r="E5" s="118" t="n">
        <v>5</v>
      </c>
      <c r="F5" s="119" t="inlineStr">
        <is>
          <t>Verify SERVICE MANAGEMENT screen and it's content</t>
        </is>
      </c>
      <c r="G5" s="120" t="inlineStr">
        <is>
          <t>• N/A</t>
        </is>
      </c>
      <c r="H5" s="53" t="n"/>
      <c r="I5" s="120" t="inlineStr">
        <is>
          <t>1.In DASHBOARD Screen ( 
Vehicle Image + Vehicle Status Information + Vehicle Information Icon(i) need to be displayed at right top corner of screen)
2. Select 'i' icon --&gt; Service Management  and observe</t>
        </is>
      </c>
      <c r="J5" s="194"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20" t="n"/>
      <c r="L5" s="121" t="n"/>
      <c r="M5" s="195" t="n"/>
      <c r="N5" s="196"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7" t="n"/>
      <c r="N6" s="108"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7" t="n"/>
      <c r="N7" s="108"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7" t="n"/>
      <c r="N8" s="108"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7" t="n"/>
      <c r="N9" s="108"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7" t="n"/>
      <c r="N10" s="108"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7" t="n"/>
      <c r="N11" s="108"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7" t="n"/>
      <c r="N12" s="108"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7" t="n"/>
      <c r="N13" s="108"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7" t="n"/>
      <c r="N14" s="108"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7" t="n"/>
      <c r="N15" s="108"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7" t="n"/>
      <c r="N16" s="108" t="n"/>
    </row>
    <row r="17" ht="32.25" customHeight="1" thickBot="1">
      <c r="B17" s="59" t="n">
        <v>13</v>
      </c>
      <c r="C17" s="60" t="inlineStr">
        <is>
          <t>EUR, NAR, CHN</t>
        </is>
      </c>
      <c r="D17" s="60" t="inlineStr">
        <is>
          <t>Medium</t>
        </is>
      </c>
      <c r="E17" s="61" t="n">
        <v>10</v>
      </c>
      <c r="F17" s="94"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29">
      <formula>"Fail"</formula>
    </cfRule>
  </conditionalFormatting>
  <conditionalFormatting sqref="L7">
    <cfRule type="cellIs" priority="106" operator="equal" dxfId="229">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29">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29">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topLeftCell="A9" zoomScale="80" zoomScaleNormal="80" workbookViewId="0">
      <selection activeCell="I9" sqref="I9"/>
    </sheetView>
  </sheetViews>
  <sheetFormatPr baseColWidth="8" defaultColWidth="8.7109375" defaultRowHeight="15"/>
  <cols>
    <col width="2.85546875" customWidth="1" min="1" max="1"/>
    <col width="26" customWidth="1" min="4" max="4"/>
    <col width="11.28515625" customWidth="1" style="32" min="5" max="5"/>
    <col width="42.85546875" customWidth="1" min="6" max="6"/>
    <col width="47.5703125" customWidth="1" min="7" max="7"/>
    <col width="38.85546875" customWidth="1" min="8" max="8"/>
    <col width="37.42578125" customWidth="1" min="9" max="9"/>
    <col width="50.85546875" customWidth="1" min="10" max="10"/>
    <col width="17.5703125" customWidth="1" min="11" max="11"/>
    <col width="19.42578125" customWidth="1" min="12" max="12"/>
    <col width="18.85546875" customWidth="1" min="13" max="13"/>
    <col width="18.140625" customWidth="1" min="14" max="14"/>
  </cols>
  <sheetData>
    <row r="1" ht="15.75" customHeight="1" thickBot="1"/>
    <row r="2" ht="29.25" customHeight="1" thickBot="1">
      <c r="B2" s="227" t="inlineStr">
        <is>
          <t>Activate Heating</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t>
        </is>
      </c>
      <c r="D5" s="117" t="inlineStr">
        <is>
          <t>High</t>
        </is>
      </c>
      <c r="E5" s="118" t="n">
        <v>2</v>
      </c>
      <c r="F5" s="120" t="inlineStr">
        <is>
          <t>Verifying the status of 'ACTIVATE HEATING' in CAR REMOTE screen of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Check the status of 'ACTIVATE HEATING' under CAR REMOTE screen</t>
        </is>
      </c>
      <c r="J5" s="120" t="inlineStr">
        <is>
          <t>The status should be displayed as 'Not Active' under 'ACTIVATE HEATING' section of CAR REMOTE screen</t>
        </is>
      </c>
      <c r="K5" s="117" t="n"/>
      <c r="L5" s="121" t="n"/>
      <c r="M5" s="173" t="n"/>
      <c r="N5" s="174"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t>
        </is>
      </c>
      <c r="H9" s="53" t="inlineStr">
        <is>
          <t>• Vehicle Ignition = Off
• Make sure at least 30% of Fuel to be present in Fuel Tank</t>
        </is>
      </c>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41.7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t>
        </is>
      </c>
      <c r="H10" s="53" t="inlineStr">
        <is>
          <t>• Vehicle Ignition = Off
• Make sure at least 30% of Fuel to be present in Fuel Tank
•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t>
        </is>
      </c>
      <c r="H11" s="53" t="inlineStr">
        <is>
          <t>• Vehicle Ignition = Off
• Make sure at least 30% of Fuel to be present in Fuel Tank
•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4" t="inlineStr">
        <is>
          <t>Verify all the screens with Bentley style guide.</t>
        </is>
      </c>
      <c r="G12" s="73" t="inlineStr">
        <is>
          <t>• N/A</t>
        </is>
      </c>
      <c r="H12" s="53" t="n"/>
      <c r="I12" s="62" t="inlineStr">
        <is>
          <t>Observe all the screen's font, icon, button, content, colour.</t>
        </is>
      </c>
      <c r="J12" s="62" t="inlineStr">
        <is>
          <t>All the font, icon, button, content, colour should be followed as per Bentley style guide.</t>
        </is>
      </c>
      <c r="K12" s="60" t="n"/>
      <c r="L12" s="63" t="n"/>
      <c r="M12" s="139" t="n"/>
      <c r="N12" s="136"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topLeftCell="B2" zoomScale="60" zoomScaleNormal="60" workbookViewId="0">
      <selection activeCell="I5" sqref="I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45.7109375" customWidth="1" style="1" min="10" max="10"/>
    <col width="13.140625" customWidth="1" style="1" min="11" max="11"/>
    <col width="19.42578125" customWidth="1" style="2" min="12" max="12"/>
    <col width="18.85546875" customWidth="1" style="2" min="13" max="13"/>
    <col width="20.42578125" customWidth="1" style="2" min="14" max="14"/>
    <col width="8.7109375" customWidth="1" style="2" min="15" max="36"/>
    <col width="8.7109375" customWidth="1" style="2" min="37" max="16384"/>
  </cols>
  <sheetData>
    <row r="1" ht="16.5" customHeight="1" thickBot="1"/>
    <row r="2" ht="29.25" customHeight="1" thickBot="1">
      <c r="B2" s="242" t="inlineStr">
        <is>
          <t>Roadside Assistance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2</v>
      </c>
      <c r="F5" s="78" t="inlineStr">
        <is>
          <t>Verify 'ROADSIDE ASSISTANCE' number via My Bentley App</t>
        </is>
      </c>
      <c r="G5" s="120"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20" t="inlineStr">
        <is>
          <t xml:space="preserve">
1. In 'ROADSIDE ASSISTANCE' screen, Select 'CALL NOW' button and validate the Breakdown Contact numbers displayed </t>
        </is>
      </c>
      <c r="J5" s="120" t="inlineStr">
        <is>
          <t>The Breakdown Contact Information should be displayed as : 
UK : +44 800 316 1333
EU &amp; Italy : +49 221802471854
NAR &amp; CND : +1 800 455 5045
CHN : +864000032877</t>
        </is>
      </c>
      <c r="K5" s="22" t="n"/>
      <c r="L5" s="23" t="n"/>
      <c r="M5" s="22" t="n"/>
      <c r="N5" s="24" t="n"/>
    </row>
    <row r="6" ht="236.25" customHeight="1">
      <c r="B6" s="4" t="n">
        <v>2</v>
      </c>
      <c r="C6" s="7"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Italy : +49 221802471854
NAR &amp; CND : +1 800 455 5045
CHN : +864000032877
2. Two way communication between Agent and Customer should be successfull
3. Breakdown Call should end without any issues</t>
        </is>
      </c>
      <c r="K6" s="3" t="n"/>
      <c r="L6" s="9" t="n"/>
      <c r="M6" s="3" t="n"/>
      <c r="N6" s="13" t="n"/>
    </row>
    <row r="7" ht="236.25" customHeight="1">
      <c r="B7" s="4" t="n">
        <v>3</v>
      </c>
      <c r="C7" s="7" t="inlineStr">
        <is>
          <t>EUR, NAR, CHN</t>
        </is>
      </c>
      <c r="D7" s="7" t="inlineStr">
        <is>
          <t>High</t>
        </is>
      </c>
      <c r="E7" s="34" t="n">
        <v>10</v>
      </c>
      <c r="F7" s="28" t="inlineStr">
        <is>
          <t>Verify Breakdown Call initiation via My Bentley App when privacy mode is activated</t>
        </is>
      </c>
      <c r="G7"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7" s="53" t="inlineStr">
        <is>
          <t>• Privacy Mode = On
( Vehicle HMI Home screen -&gt; Settings -&gt; Privacy --&gt; Activating privacy mode = Enabled )</t>
        </is>
      </c>
      <c r="I7"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7" s="53" t="inlineStr">
        <is>
          <t>1. Breakdown Call to respective numbers should be successfull when privacy mode is activated 
UK : +44 800 316 1333
EU &amp; Italy : +49 221802471854
NAR &amp; CND : +1 800 455 5045
CHN : +864000032877
2. Two way communication between Agent and Customer should be successfull
3. Breakdown Call should end without any issues</t>
        </is>
      </c>
      <c r="K7" s="3" t="n"/>
      <c r="L7" s="9" t="n"/>
      <c r="M7" s="3" t="n"/>
      <c r="N7" s="13" t="n"/>
    </row>
    <row r="8" ht="16.5" customHeight="1" thickBot="1">
      <c r="B8" s="5" t="n">
        <v>4</v>
      </c>
      <c r="C8" s="10" t="inlineStr">
        <is>
          <t>EUR, NAR, CHN</t>
        </is>
      </c>
      <c r="D8" s="10" t="inlineStr">
        <is>
          <t>Medium</t>
        </is>
      </c>
      <c r="E8" s="35" t="n">
        <v>5</v>
      </c>
      <c r="F8" s="6" t="inlineStr">
        <is>
          <t>Verify all the screen with Bentley style guide.</t>
        </is>
      </c>
      <c r="G8" s="6" t="inlineStr">
        <is>
          <t>• N/A</t>
        </is>
      </c>
      <c r="H8" s="53" t="n"/>
      <c r="I8" s="6" t="inlineStr">
        <is>
          <t>Observe all the screen's icon, font, colour</t>
        </is>
      </c>
      <c r="J8" s="6" t="inlineStr">
        <is>
          <t>All the icon, font, colour should be followed as per Bentley style guide.</t>
        </is>
      </c>
      <c r="K8" s="6" t="n"/>
      <c r="L8" s="11" t="n"/>
      <c r="M8" s="6" t="n"/>
      <c r="N8" s="14" t="n"/>
    </row>
    <row r="9">
      <c r="F9" s="40" t="n"/>
      <c r="G9" s="40" t="n"/>
      <c r="H9" s="40" t="n"/>
      <c r="I9" s="40" t="n"/>
      <c r="J9" s="40" t="n"/>
      <c r="K9" s="40" t="n"/>
      <c r="L9" s="40" t="n"/>
      <c r="M9" s="40" t="n"/>
    </row>
  </sheetData>
  <mergeCells count="3">
    <mergeCell ref="F3:M3"/>
    <mergeCell ref="B2:M2"/>
    <mergeCell ref="B3:C3"/>
  </mergeCells>
  <conditionalFormatting sqref="K5:K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5" zoomScale="60" zoomScaleNormal="60" workbookViewId="0">
      <selection activeCell="G5" sqref="G5"/>
    </sheetView>
  </sheetViews>
  <sheetFormatPr baseColWidth="8" defaultColWidth="8.7109375" defaultRowHeight="15.75"/>
  <cols>
    <col width="8.7109375" customWidth="1" style="43"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7.85546875" customWidth="1" style="44" min="10" max="10"/>
    <col width="13.140625" customWidth="1" style="44" min="11" max="11"/>
    <col width="19.42578125" customWidth="1" style="43" min="12" max="12"/>
    <col width="18.85546875" customWidth="1" style="43" min="13" max="13"/>
    <col width="16.5703125" customWidth="1" style="43" min="14" max="14"/>
    <col width="8.7109375" customWidth="1" style="43" min="15" max="36"/>
    <col width="8.7109375" customWidth="1" style="43" min="37" max="16384"/>
  </cols>
  <sheetData>
    <row r="1" ht="16.5" customHeight="1" thickBot="1"/>
    <row r="2" ht="29.25" customHeight="1" thickBot="1">
      <c r="B2" s="227" t="inlineStr">
        <is>
          <t>Data Services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409.5" customHeight="1">
      <c r="B5" s="127" t="n">
        <v>1</v>
      </c>
      <c r="C5" s="220" t="inlineStr">
        <is>
          <t>EUR</t>
        </is>
      </c>
      <c r="D5" s="220" t="inlineStr">
        <is>
          <t>High</t>
        </is>
      </c>
      <c r="E5" s="221" t="n">
        <v>3</v>
      </c>
      <c r="F5" s="222" t="inlineStr">
        <is>
          <t>Verify launching of 'EU-DATA SERVICES' web shop link(bentley.cubictelecom.com) via Bentley Support Web link(support.bentleymotors.com) in My Bentley App</t>
        </is>
      </c>
      <c r="G5" s="222" t="inlineStr">
        <is>
          <t>• N/A</t>
        </is>
      </c>
      <c r="H5" s="53" t="n"/>
      <c r="I5" s="222"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2"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20" t="n"/>
      <c r="L5" s="121" t="n"/>
      <c r="M5" s="120" t="n"/>
      <c r="N5" s="122"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20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20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20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5" t="n"/>
      <c r="G9" s="175" t="n"/>
      <c r="H9" s="175" t="n"/>
      <c r="I9" s="175" t="n"/>
      <c r="J9" s="175" t="n"/>
      <c r="K9" s="175" t="n"/>
      <c r="L9" s="175" t="n"/>
      <c r="M9" s="175"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3" zoomScale="60" zoomScaleNormal="60" workbookViewId="0">
      <selection activeCell="J5" sqref="B5:J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7109375" customWidth="1" style="1" min="10" max="10"/>
    <col width="13.140625" customWidth="1" style="1" min="11" max="11"/>
    <col width="19.42578125" customWidth="1" style="2" min="12" max="12"/>
    <col width="18.85546875" customWidth="1" style="2" min="13" max="13"/>
    <col width="15.140625" customWidth="1" style="2" min="14" max="14"/>
    <col width="8.7109375" customWidth="1" style="2" min="15" max="36"/>
    <col width="8.7109375" customWidth="1" style="2" min="37" max="16384"/>
  </cols>
  <sheetData>
    <row r="1" ht="16.5" customHeight="1" thickBot="1"/>
    <row r="2" ht="29.25" customHeight="1" thickBot="1">
      <c r="B2" s="227" t="inlineStr">
        <is>
          <t>My Alerts</t>
        </is>
      </c>
      <c r="C2" s="228" t="n"/>
      <c r="D2" s="228" t="n"/>
      <c r="E2" s="228" t="n"/>
      <c r="F2" s="228" t="n"/>
      <c r="G2" s="228" t="n"/>
      <c r="H2" s="228" t="n"/>
      <c r="I2" s="228" t="n"/>
      <c r="J2" s="228" t="n"/>
      <c r="K2" s="228" t="n"/>
      <c r="L2" s="228" t="n"/>
      <c r="M2" s="229" t="n"/>
    </row>
    <row r="3" ht="16.5" customHeight="1" thickBot="1">
      <c r="B3" s="244" t="inlineStr">
        <is>
          <t>Precondition</t>
        </is>
      </c>
      <c r="C3" s="228" t="n"/>
      <c r="D3" s="178" t="n"/>
      <c r="E3" s="179" t="n"/>
      <c r="F3" s="243"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28" t="n"/>
      <c r="H3" s="228" t="n"/>
      <c r="I3" s="228" t="n"/>
      <c r="J3" s="228" t="n"/>
      <c r="K3" s="228" t="n"/>
      <c r="L3" s="228" t="n"/>
      <c r="M3" s="233" t="n"/>
    </row>
    <row r="4" ht="48" customHeight="1" thickBot="1">
      <c r="A4" t="inlineStr"/>
      <c r="B4" s="180" t="inlineStr">
        <is>
          <t>TC ID</t>
        </is>
      </c>
      <c r="C4" s="181" t="inlineStr">
        <is>
          <t>Region</t>
        </is>
      </c>
      <c r="D4" s="182" t="inlineStr">
        <is>
          <t>Test Priority</t>
        </is>
      </c>
      <c r="E4" s="49" t="inlineStr">
        <is>
          <t>Overall Effort (in Mins)</t>
        </is>
      </c>
      <c r="F4" s="181" t="inlineStr">
        <is>
          <t>Test Case Title</t>
        </is>
      </c>
      <c r="G4" s="182" t="inlineStr">
        <is>
          <t>Pre-Condition</t>
        </is>
      </c>
      <c r="H4" s="182" t="inlineStr">
        <is>
          <t>Pre-Condition (Vehicle)</t>
        </is>
      </c>
      <c r="I4" s="181" t="inlineStr">
        <is>
          <t>Action</t>
        </is>
      </c>
      <c r="J4" s="183" t="inlineStr">
        <is>
          <t>Expected Result</t>
        </is>
      </c>
      <c r="K4" s="124" t="inlineStr">
        <is>
          <t>Actual Result</t>
        </is>
      </c>
      <c r="L4" s="124" t="inlineStr">
        <is>
          <t>Test Result</t>
        </is>
      </c>
      <c r="M4" s="124" t="inlineStr">
        <is>
          <t>No Of Observations</t>
        </is>
      </c>
      <c r="N4" s="126" t="inlineStr">
        <is>
          <t>Defect IDs/Comments</t>
        </is>
      </c>
    </row>
    <row r="5" ht="157.5" customHeight="1">
      <c r="B5" s="127" t="n">
        <v>1</v>
      </c>
      <c r="C5" s="117" t="inlineStr">
        <is>
          <t>NAR</t>
        </is>
      </c>
      <c r="D5" s="117" t="inlineStr">
        <is>
          <t>High</t>
        </is>
      </c>
      <c r="E5" s="118" t="n">
        <v>5</v>
      </c>
      <c r="F5" s="120" t="inlineStr">
        <is>
          <t xml:space="preserve">Verify the contents of 'MY ALERTS' screen in My Bentley App </t>
        </is>
      </c>
      <c r="G5" s="120"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4" t="inlineStr">
        <is>
          <t xml:space="preserve">In 'MY ALERTS' screen, Validate the different alerts displayed
</t>
        </is>
      </c>
      <c r="J5" s="120" t="inlineStr">
        <is>
          <t>'MY ALERTS' screen should be launched displaying : 
1. Screen Title displayed as 'MY ALERTS'
2. Different Alerts tab to be displayed :
a.) Speed Alert
b.) Valet Alert
c.) Perimeter Alert
d.) Curfew Alert</t>
        </is>
      </c>
      <c r="K5" s="120" t="n"/>
      <c r="L5" s="121" t="n"/>
      <c r="M5" s="120" t="n"/>
      <c r="N5" s="122" t="n"/>
    </row>
    <row r="6" ht="157.5" customHeight="1">
      <c r="B6" s="185"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5"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5"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5"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5"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5"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5"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5"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5"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5"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5"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5"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5"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3"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3"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3"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3"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4" t="inlineStr">
        <is>
          <t>Verify all the screen with Bentley style guide.</t>
        </is>
      </c>
      <c r="G21" s="94" t="inlineStr">
        <is>
          <t>• N/A</t>
        </is>
      </c>
      <c r="H21" s="53" t="n"/>
      <c r="I21" s="94" t="inlineStr">
        <is>
          <t>Observe all the screen's icon, font, colour</t>
        </is>
      </c>
      <c r="J21" s="94" t="inlineStr">
        <is>
          <t>All the icon, font, colour should be followed as per Bentley style guide.</t>
        </is>
      </c>
      <c r="K21" s="94" t="n"/>
      <c r="L21" s="96"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zoomScale="60" zoomScaleNormal="60" workbookViewId="0">
      <selection activeCell="J11" sqref="J11"/>
    </sheetView>
  </sheetViews>
  <sheetFormatPr baseColWidth="8" defaultColWidth="8.7109375" defaultRowHeight="15"/>
  <cols>
    <col width="3.28515625" customWidth="1" min="1" max="1"/>
    <col width="6.5703125" customWidth="1" min="2" max="2"/>
    <col width="9.140625" customWidth="1" min="3" max="3"/>
    <col width="13.28515625" customWidth="1" min="4" max="4"/>
    <col width="11.28515625" customWidth="1" style="32" min="5" max="5"/>
    <col width="47.7109375" customWidth="1" min="6" max="6"/>
    <col width="44.28515625" customWidth="1" min="7" max="7"/>
    <col width="49.140625" customWidth="1" min="8" max="8"/>
    <col width="47.140625" customWidth="1" min="9" max="10"/>
    <col width="16.85546875" customWidth="1" min="11" max="11"/>
    <col width="19.42578125" customWidth="1" min="12" max="12"/>
    <col width="18.85546875" customWidth="1" min="13" max="13"/>
    <col width="15.85546875" customWidth="1" min="14" max="14"/>
  </cols>
  <sheetData>
    <row r="1" ht="15.75" customHeight="1" thickBot="1"/>
    <row r="2" ht="29.25" customHeight="1" thickBot="1">
      <c r="B2" s="227" t="inlineStr">
        <is>
          <t>Theft Alarm</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t>
        </is>
      </c>
      <c r="D5" s="117" t="inlineStr">
        <is>
          <t>High</t>
        </is>
      </c>
      <c r="E5" s="118" t="n">
        <v>3</v>
      </c>
      <c r="F5" s="119" t="inlineStr">
        <is>
          <t>Validating 'THEFT ALARM' section under CAR REMOTE screen</t>
        </is>
      </c>
      <c r="G5" s="120"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20" t="inlineStr">
        <is>
          <t>Observe 'THEFT ALARM' section</t>
        </is>
      </c>
      <c r="J5" s="120" t="inlineStr">
        <is>
          <t>Under CAR REMOTE screen of 'THEFT ALARM' section :
1. Title : THEFT ALARM
2. Image : Respective Vehicle Image to be displayed
3. Theft AlarmStatus : “No messages” / 'Interior alarm' / 'Break-in alarm' / 'Trailer alarm' / 'Motion alarm' ….etc. to be displayed</t>
        </is>
      </c>
      <c r="K5" s="120" t="n"/>
      <c r="L5" s="121" t="n"/>
      <c r="M5" s="121" t="n"/>
      <c r="N5" s="174"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6"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6"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4"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zoomScale="60" zoomScaleNormal="60" workbookViewId="0">
      <selection activeCell="F5" sqref="F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2.140625" customWidth="1" style="1" min="10" max="10"/>
    <col width="13.140625" customWidth="1" style="1" min="11" max="11"/>
    <col width="19.42578125" customWidth="1" style="2" min="12" max="12"/>
    <col width="18.85546875" customWidth="1" style="2" min="13" max="13"/>
    <col width="15.42578125" customWidth="1" min="14" max="14"/>
  </cols>
  <sheetData>
    <row r="1" ht="16.5" customHeight="1" thickBot="1"/>
    <row r="2" ht="29.25" customHeight="1" thickBot="1">
      <c r="B2" s="227" t="inlineStr">
        <is>
          <t>Stolen Vehicle Locator</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NAR , CHN</t>
        </is>
      </c>
      <c r="D5" s="117" t="inlineStr">
        <is>
          <t>High</t>
        </is>
      </c>
      <c r="E5" s="118" t="n">
        <v>3</v>
      </c>
      <c r="F5" s="119" t="inlineStr">
        <is>
          <t>Verify accessing 'Stolen Vehicle Locator' from CAR REMOTE screen</t>
        </is>
      </c>
      <c r="G5" s="120" t="inlineStr">
        <is>
          <t>• The screen focus is in "My Bentley App - CAR REMOTE" page
( My Bentley App --&gt; LOGIN OR REGISTER --&gt; Email --&gt; Enter valid email id --&gt; NEXT --&gt; Enter the Password --&gt; NEXT --&gt; Vehicle "DASHBOARD" Screen --&gt; CAR REMOTE )</t>
        </is>
      </c>
      <c r="H5" s="53" t="n"/>
      <c r="I5" s="184" t="inlineStr">
        <is>
          <t>1. In 'CAR REMOTE' screen , Tap on 'STOLEN VEHICLE FINDER' section and Observe</t>
        </is>
      </c>
      <c r="J5" s="120" t="inlineStr">
        <is>
          <t>'STOLEN VEHICLE FINDER' screen should be launched displaying : 
1. Title : PROTECT YOUR BENTLEY
2. Button : CALL NOW
3. Clicking on 'CALL NOW' button should display SVL Contact Information(i.e. CHN : 400 0176 819 &amp; NAR : +1 669 210 8203)</t>
        </is>
      </c>
      <c r="K5" s="120" t="n"/>
      <c r="L5" s="121" t="n"/>
      <c r="M5" s="120" t="n"/>
      <c r="N5" s="122"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 customWidth="1" style="1" min="10" max="10"/>
    <col width="13.140625" customWidth="1" style="1" min="11" max="11"/>
    <col width="19.42578125" customWidth="1" style="2" min="12" max="12"/>
    <col width="18.85546875" customWidth="1" style="2" min="13" max="13"/>
    <col width="15.85546875" customWidth="1" min="14" max="14"/>
  </cols>
  <sheetData>
    <row r="1" ht="16.5" customHeight="1" thickBot="1"/>
    <row r="2" ht="29.25" customHeight="1" thickBot="1">
      <c r="B2" s="227" t="inlineStr">
        <is>
          <t>Audials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t>
        </is>
      </c>
      <c r="D5" s="117" t="inlineStr">
        <is>
          <t>High</t>
        </is>
      </c>
      <c r="E5" s="118" t="n">
        <v>5</v>
      </c>
      <c r="F5" s="120" t="inlineStr">
        <is>
          <t>Verify launching of 'Audials-Radio' service in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120" t="n"/>
      <c r="I5" s="184"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20" t="inlineStr">
        <is>
          <t>'audials.com' website should be launched</t>
        </is>
      </c>
      <c r="K5" s="120" t="n"/>
      <c r="L5" s="121" t="n"/>
      <c r="M5" s="120" t="n"/>
      <c r="N5" s="122"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8" zoomScale="70" zoomScaleNormal="70" workbookViewId="0">
      <selection activeCell="I12" sqref="I12"/>
    </sheetView>
  </sheetViews>
  <sheetFormatPr baseColWidth="8" defaultColWidth="8.7109375" defaultRowHeight="15"/>
  <cols>
    <col width="2" customWidth="1" min="1" max="1"/>
    <col width="16.140625" bestFit="1" customWidth="1" min="3" max="3"/>
    <col width="13.140625" customWidth="1" style="12" min="4" max="4"/>
    <col width="11.28515625" customWidth="1" style="39" min="5" max="5"/>
    <col width="44" customWidth="1" style="12" min="6" max="6"/>
    <col width="51.85546875" customWidth="1" style="12" min="7" max="7"/>
    <col width="41.5703125" customWidth="1" style="12" min="8" max="8"/>
    <col width="45" customWidth="1" style="12" min="9" max="9"/>
    <col width="47.85546875" customWidth="1" style="12" min="10" max="10"/>
    <col width="14" customWidth="1" style="12" min="11" max="11"/>
    <col width="19.42578125" customWidth="1" min="12" max="12"/>
    <col width="18.85546875" customWidth="1" min="13" max="13"/>
    <col width="16" customWidth="1" min="14" max="14"/>
  </cols>
  <sheetData>
    <row r="1" ht="15.75" customHeight="1" thickBot="1"/>
    <row r="2" ht="29.25" customHeight="1" thickBot="1">
      <c r="B2" s="227" t="inlineStr">
        <is>
          <t>Car Finder</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5</v>
      </c>
      <c r="F5" s="53" t="inlineStr">
        <is>
          <t>Verify locating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Scroll down to the bottom and locate the navigation icon at the footer of 'My Bentley App - DASHBOARD' page</t>
        </is>
      </c>
      <c r="J5" s="120" t="inlineStr">
        <is>
          <t>The user should be able to locate the navigation icon under 'My Bentley App - DASHBOARD' page easily</t>
        </is>
      </c>
      <c r="K5" s="120" t="n"/>
      <c r="L5" s="121" t="n"/>
      <c r="M5" s="121" t="n"/>
      <c r="N5" s="174"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the 'User' icon.</t>
        </is>
      </c>
      <c r="J7" s="53" t="inlineStr">
        <is>
          <t>User Icon should be display  at the right bottom of screen.</t>
        </is>
      </c>
      <c r="K7" s="53" t="n"/>
      <c r="L7" s="54" t="n"/>
      <c r="M7" s="54" t="n"/>
      <c r="N7" s="72" t="n"/>
    </row>
    <row r="8" ht="110.25" customHeight="1">
      <c r="B8" s="50" t="n">
        <v>4</v>
      </c>
      <c r="C8" s="51" t="inlineStr">
        <is>
          <t>EUR, NAR, CHN</t>
        </is>
      </c>
      <c r="D8" s="51" t="inlineStr">
        <is>
          <t>Medium</t>
        </is>
      </c>
      <c r="E8" s="52" t="n">
        <v>3</v>
      </c>
      <c r="F8" s="79" t="inlineStr">
        <is>
          <t>Verify the user location  on the map.</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Click on the 'User' icon</t>
        </is>
      </c>
      <c r="J8" s="70" t="inlineStr">
        <is>
          <t>The user location should be displayed on the map.</t>
        </is>
      </c>
      <c r="K8" s="70" t="n"/>
      <c r="L8" s="54" t="n"/>
      <c r="M8" s="54" t="n"/>
      <c r="N8" s="72" t="n"/>
    </row>
    <row r="9" ht="110.25" customHeight="1">
      <c r="B9" s="50" t="n">
        <v>5</v>
      </c>
      <c r="C9" s="51" t="inlineStr">
        <is>
          <t>EUR, NAR, CHN</t>
        </is>
      </c>
      <c r="D9" s="51" t="inlineStr">
        <is>
          <t>Medium</t>
        </is>
      </c>
      <c r="E9" s="52" t="n">
        <v>3</v>
      </c>
      <c r="F9" s="79" t="inlineStr">
        <is>
          <t xml:space="preserve">Verify the display visibility on the map.
</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1. Click on the 'Car' icon
2. Click on the 'User' icon</t>
        </is>
      </c>
      <c r="J9" s="70" t="inlineStr">
        <is>
          <t>1. The vehicle pointer icon should display on the centre of map screen and clearly visible to the user.
2. The user position should display on the centre of map screen and clearly visible to the user.</t>
        </is>
      </c>
      <c r="K9" s="70" t="n"/>
      <c r="L9" s="54" t="n"/>
      <c r="M9" s="54" t="n"/>
      <c r="N9" s="72" t="n"/>
    </row>
    <row r="10" ht="157.5" customHeight="1">
      <c r="B10" s="50" t="n">
        <v>6</v>
      </c>
      <c r="C10" s="51" t="inlineStr">
        <is>
          <t>EUR, NAR, CHN</t>
        </is>
      </c>
      <c r="D10" s="51" t="inlineStr">
        <is>
          <t>Medium</t>
        </is>
      </c>
      <c r="E10" s="52" t="n">
        <v>3</v>
      </c>
      <c r="F10" s="79" t="inlineStr">
        <is>
          <t>Verification of vehicle information.</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vehicle pointer icon on the map.</t>
        </is>
      </c>
      <c r="J10"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10" s="70" t="n"/>
      <c r="L10" s="54" t="n"/>
      <c r="M10" s="54" t="n"/>
      <c r="N10" s="72" t="n"/>
    </row>
    <row r="11" ht="110.25" customHeight="1">
      <c r="B11" s="50" t="n">
        <v>7</v>
      </c>
      <c r="C11" s="51" t="inlineStr">
        <is>
          <t>EUR, NAR, CHN</t>
        </is>
      </c>
      <c r="D11" s="51" t="inlineStr">
        <is>
          <t>High</t>
        </is>
      </c>
      <c r="E11" s="52" t="n">
        <v>3</v>
      </c>
      <c r="F11" s="79" t="inlineStr">
        <is>
          <t>Planning route between car &amp; user.</t>
        </is>
      </c>
      <c r="G11"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1" s="67" t="n"/>
      <c r="I11" s="53" t="inlineStr">
        <is>
          <t>Click on the PLAN ROUTE button</t>
        </is>
      </c>
      <c r="J11" s="53" t="inlineStr">
        <is>
          <t>Plan Route  from User current location to Car Parked location should be successful .</t>
        </is>
      </c>
      <c r="K11" s="53" t="n"/>
      <c r="L11" s="54" t="n"/>
      <c r="M11" s="54" t="n"/>
      <c r="N11" s="72" t="n"/>
    </row>
    <row r="12" ht="204.75" customHeight="1">
      <c r="B12" s="50" t="n">
        <v>8</v>
      </c>
      <c r="C12" s="51" t="inlineStr">
        <is>
          <t>EUR, NAR, CHN</t>
        </is>
      </c>
      <c r="D12" s="51" t="inlineStr">
        <is>
          <t>High</t>
        </is>
      </c>
      <c r="E12" s="52" t="n">
        <v>5</v>
      </c>
      <c r="F12" s="176" t="inlineStr">
        <is>
          <t>Verification of Car Finder when 'Activating Privacy Mode' is enabled under vehicle HMI 'Settings Privacy' screen</t>
        </is>
      </c>
      <c r="G12"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2" s="223"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12" s="70" t="inlineStr">
        <is>
          <t>Check for 'Car' icon under 'My Bentley App - NAVIGATION' screen when 'Activating Privacy Mode' is enabled in vehicle HMI 'Settings Privacy' screen</t>
        </is>
      </c>
      <c r="J12"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12" s="53" t="n"/>
      <c r="L12" s="54" t="n"/>
      <c r="M12" s="54" t="n"/>
      <c r="N12" s="72" t="n"/>
    </row>
    <row r="13" ht="204.75" customHeight="1">
      <c r="B13" s="50" t="n">
        <v>9</v>
      </c>
      <c r="C13" s="51" t="inlineStr">
        <is>
          <t>EUR, NAR, CHN</t>
        </is>
      </c>
      <c r="D13" s="51" t="inlineStr">
        <is>
          <t>Medium</t>
        </is>
      </c>
      <c r="E13" s="52" t="n">
        <v>5</v>
      </c>
      <c r="F13" s="176" t="inlineStr">
        <is>
          <t>Verification of Car Finder functionality when 'Share Vehicle Position' Online Services Privacy Settings option is deactivated via vehicle HMI</t>
        </is>
      </c>
      <c r="G13"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3" s="223"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3" s="70" t="inlineStr">
        <is>
          <t>Check for 'Car' icon under 'My Bentley App - NAVIGATION' screen when 'Share Vehicle Position' Online Services Privacy Settings option is deactivated in vehicle HMI 'Settings Privacy' screen</t>
        </is>
      </c>
      <c r="J13"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3" s="70" t="n"/>
      <c r="L13" s="54" t="n"/>
      <c r="M13" s="54" t="n"/>
      <c r="N13" s="72" t="n"/>
    </row>
    <row r="14" ht="32.25" customHeight="1" thickBot="1">
      <c r="B14" s="59" t="n">
        <v>10</v>
      </c>
      <c r="C14" s="60" t="inlineStr">
        <is>
          <t>EUR, NAR, CHN</t>
        </is>
      </c>
      <c r="D14" s="60" t="inlineStr">
        <is>
          <t>Medium</t>
        </is>
      </c>
      <c r="E14" s="61" t="n">
        <v>5</v>
      </c>
      <c r="F14" s="62" t="inlineStr">
        <is>
          <t>Verify all the screens with Bentley style guide.</t>
        </is>
      </c>
      <c r="G14" s="73" t="inlineStr">
        <is>
          <t>• N/A</t>
        </is>
      </c>
      <c r="H14" s="67"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8"/>
  <sheetViews>
    <sheetView tabSelected="1" topLeftCell="A9" zoomScale="60" zoomScaleNormal="60" workbookViewId="0">
      <selection activeCell="I11" sqref="I11"/>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7.7109375" customWidth="1" style="2" min="6" max="6"/>
    <col width="54.42578125" customWidth="1" style="2" min="7" max="7"/>
    <col width="60.140625" customWidth="1" style="2" min="8" max="8"/>
    <col width="60.42578125" customWidth="1" style="1" min="9" max="9"/>
    <col width="48.140625" customWidth="1" style="1" min="10" max="10"/>
    <col width="13.140625" customWidth="1" style="1" min="11" max="11"/>
    <col width="19.42578125" customWidth="1" style="2" min="12" max="12"/>
    <col width="18.85546875" customWidth="1" style="2" min="13" max="13"/>
    <col width="15.42578125" customWidth="1" style="2" min="14" max="14"/>
    <col width="8.7109375" customWidth="1" style="2" min="15" max="36"/>
    <col width="8.7109375" customWidth="1" style="2" min="37" max="16384"/>
  </cols>
  <sheetData>
    <row r="1" ht="16.5" customHeight="1" thickBot="1"/>
    <row r="2" ht="29.25" customHeight="1" thickBot="1">
      <c r="B2" s="242" t="inlineStr">
        <is>
          <t>Nav Companion</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73.25" customHeight="1">
      <c r="B5" s="127" t="n">
        <v>1</v>
      </c>
      <c r="C5" s="117" t="inlineStr">
        <is>
          <t>EUR, NAR, CHN</t>
        </is>
      </c>
      <c r="D5" s="117" t="inlineStr">
        <is>
          <t>High</t>
        </is>
      </c>
      <c r="E5" s="118" t="n">
        <v>3</v>
      </c>
      <c r="F5" s="120" t="inlineStr">
        <is>
          <t>Verify accessing of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1. In 'My Bentley App - DASHBOARD' screen, Click on 'Navigation' tab(i.e. Navigation Icon tab present in Footer Screen)</t>
        </is>
      </c>
      <c r="J5" s="120"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20" t="n"/>
      <c r="L5" s="121" t="n"/>
      <c r="M5" s="120" t="n"/>
      <c r="N5" s="122" t="n"/>
    </row>
    <row r="6" ht="110.25" customHeight="1">
      <c r="B6" s="50" t="n">
        <v>2</v>
      </c>
      <c r="C6" s="51" t="inlineStr">
        <is>
          <t>EUR, NAR, CHN</t>
        </is>
      </c>
      <c r="D6" s="51" t="inlineStr">
        <is>
          <t>Medium</t>
        </is>
      </c>
      <c r="E6" s="52" t="n">
        <v>3</v>
      </c>
      <c r="F6" s="53" t="inlineStr">
        <is>
          <t>Verify location search under 'Navigation' Screen</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1. In 'NAVIGATION' screen, Click on Search Window and search for any location(Ex : London , Leamington Spa)</t>
        </is>
      </c>
      <c r="J6" s="53" t="inlineStr">
        <is>
          <t>Location Search should yield result under NAVIGATION screen</t>
        </is>
      </c>
      <c r="K6" s="53" t="n"/>
      <c r="L6" s="54" t="n"/>
      <c r="M6" s="53" t="n"/>
      <c r="N6" s="55" t="n"/>
    </row>
    <row r="7" ht="204.75" customHeight="1">
      <c r="B7" s="50" t="n">
        <v>3</v>
      </c>
      <c r="C7" s="51" t="inlineStr">
        <is>
          <t>EUR, NAR, CHN</t>
        </is>
      </c>
      <c r="D7" s="51" t="inlineStr">
        <is>
          <t>High</t>
        </is>
      </c>
      <c r="E7" s="52" t="n">
        <v>5</v>
      </c>
      <c r="F7" s="53" t="inlineStr">
        <is>
          <t>Verify sending location information to vehicle</t>
        </is>
      </c>
      <c r="G7" s="67"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1. In 'NAVIGATION' screen, Click on Search Window and search for any location(Ex : London , Leamington Spa)
2. Select the Searched Location Entry(Ex : London , Manchester etc.) from the list of result 
3. Click on 'SEND TO CAR' , Message 'XXX Location Information sent successfully to XXX Vehicle' to be displayed as well the recently sent location should be added under 'SENT DESTINATIONS' section
4. Check whether the recently sent location to vehicle via My Bentley App can be accessed in vehicle</t>
        </is>
      </c>
      <c r="J7" s="53" t="inlineStr">
        <is>
          <t>* In Vehicle :
HMI --&gt; Navigation --&gt; My Destinations(Navigation-Received destinations and tours Screen) --&gt; Location sent via My Bentley App should be displayed and user should be able to set the route to that location</t>
        </is>
      </c>
      <c r="K7" s="53" t="n"/>
      <c r="L7" s="54" t="n"/>
      <c r="M7" s="53" t="n"/>
      <c r="N7" s="55" t="n"/>
    </row>
    <row r="8" ht="173.25" customHeight="1">
      <c r="B8" s="50" t="n">
        <v>4</v>
      </c>
      <c r="C8" s="51" t="inlineStr">
        <is>
          <t>EUR, NAR, CHN</t>
        </is>
      </c>
      <c r="D8" s="51" t="inlineStr">
        <is>
          <t>Medium</t>
        </is>
      </c>
      <c r="E8" s="52" t="n">
        <v>4</v>
      </c>
      <c r="F8" s="53" t="inlineStr">
        <is>
          <t>Verify removing location information from 'SENT DESTINATIONS' section under NAVIGATION screen of My Bentley App</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inlineStr">
        <is>
          <t>• Recently added location details found under 'SENT DESTINATIONS' section</t>
        </is>
      </c>
      <c r="I8" s="53" t="inlineStr">
        <is>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is>
      </c>
      <c r="J8" s="53" t="inlineStr">
        <is>
          <t>* In Vehicle :
HMI --&gt; Navigation --&gt; My Destinations(Navigation-Received destinations and tours Screen) --&gt; Location sent via My Bentley App previously should not be displayed once it is removed from My Bentley App side</t>
        </is>
      </c>
      <c r="K8" s="53" t="n"/>
      <c r="L8" s="54" t="n"/>
      <c r="M8" s="53" t="n"/>
      <c r="N8" s="55" t="n"/>
    </row>
    <row r="9" ht="330.75" customHeight="1">
      <c r="B9" s="50" t="n">
        <v>5</v>
      </c>
      <c r="C9" s="51" t="inlineStr">
        <is>
          <t>EUR, NAR, CHN</t>
        </is>
      </c>
      <c r="D9" s="51" t="inlineStr">
        <is>
          <t>High</t>
        </is>
      </c>
      <c r="E9" s="52" t="n">
        <v>5</v>
      </c>
      <c r="F9" s="53" t="inlineStr">
        <is>
          <t>Verify removing location information from 'FAVORITES' section under NAVIGATION screen of My Bentley App</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n"/>
      <c r="I9"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9" s="53" t="inlineStr">
        <is>
          <t xml:space="preserve">* In Vehicle : 
Recently deleted favourite location details should not be displayed under
[HMI --&gt; Navigation --&gt; Favourites(Navigation-Favourites Screen)]
[HMI --&gt; Navigation --&gt; My Destinations(Navigation-Received destinations and tours Screen)]
</t>
        </is>
      </c>
      <c r="K9" s="53" t="n"/>
      <c r="L9" s="54" t="n"/>
      <c r="M9" s="53" t="n"/>
      <c r="N9" s="55" t="n"/>
    </row>
    <row r="10" ht="204.75" customHeight="1">
      <c r="B10" s="50" t="n">
        <v>6</v>
      </c>
      <c r="C10" s="51" t="inlineStr">
        <is>
          <t>EUR, NAR, CHN</t>
        </is>
      </c>
      <c r="D10" s="51" t="inlineStr">
        <is>
          <t>High</t>
        </is>
      </c>
      <c r="E10" s="52" t="n">
        <v>5</v>
      </c>
      <c r="F10" s="53" t="inlineStr">
        <is>
          <t>Verify removing location information from vehicle ['Navigation - Received destinations and tours'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'Navigation - Received destinations and tours' screen</t>
        </is>
      </c>
      <c r="I10"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10"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10" s="53" t="n"/>
      <c r="L10" s="54" t="n"/>
      <c r="M10" s="53" t="n"/>
      <c r="N10" s="55" t="n"/>
    </row>
    <row r="11" ht="189" customHeight="1">
      <c r="B11" s="50" t="n">
        <v>7</v>
      </c>
      <c r="C11" s="51" t="inlineStr">
        <is>
          <t>EUR, NAR, CHN</t>
        </is>
      </c>
      <c r="D11" s="51" t="inlineStr">
        <is>
          <t>Medium</t>
        </is>
      </c>
      <c r="E11" s="52" t="n">
        <v>4</v>
      </c>
      <c r="F11" s="53" t="inlineStr">
        <is>
          <t>Verify removing location information from vehicle ['Navigation - Favourites'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inlineStr">
        <is>
          <t>• Recently added location details found under 'Navigation - Favourites' screen</t>
        </is>
      </c>
      <c r="I11"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11"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11" s="53" t="n"/>
      <c r="L11" s="54" t="n"/>
      <c r="M11" s="53" t="n"/>
      <c r="N11" s="55" t="n"/>
    </row>
    <row r="12" ht="283.5" customHeight="1">
      <c r="B12" s="50" t="n">
        <v>8</v>
      </c>
      <c r="C12" s="51" t="inlineStr">
        <is>
          <t>EUR, NAR, CHN</t>
        </is>
      </c>
      <c r="D12" s="51" t="inlineStr">
        <is>
          <t>Medium</t>
        </is>
      </c>
      <c r="E12" s="52" t="n">
        <v>4</v>
      </c>
      <c r="F12" s="53" t="inlineStr">
        <is>
          <t>Verify accessing of 'SENT DESTINATIONS' section under 'NAVIGATION' Screen</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inlineStr">
        <is>
          <t>• Recently added location details found under 'SENT DESTINATIONS' section</t>
        </is>
      </c>
      <c r="I12"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2"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2" s="53" t="n"/>
      <c r="L12" s="54" t="n"/>
      <c r="M12" s="53" t="n"/>
      <c r="N12" s="55" t="n"/>
    </row>
    <row r="13" ht="330.75" customHeight="1">
      <c r="B13" s="50" t="n">
        <v>9</v>
      </c>
      <c r="C13" s="51" t="inlineStr">
        <is>
          <t>EUR, NAR, CHN</t>
        </is>
      </c>
      <c r="D13" s="51" t="inlineStr">
        <is>
          <t>Medium</t>
        </is>
      </c>
      <c r="E13" s="52" t="n">
        <v>4</v>
      </c>
      <c r="F13" s="53" t="inlineStr">
        <is>
          <t>Verify accessing of 'DEALERS' section under 'NAVIGATION' Screen</t>
        </is>
      </c>
      <c r="G13"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3" s="67" t="n"/>
      <c r="I13"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3"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3" s="53" t="n"/>
      <c r="L13" s="54" t="n"/>
      <c r="M13" s="53" t="n"/>
      <c r="N13" s="55" t="n"/>
    </row>
    <row r="14" ht="267.75" customHeight="1">
      <c r="B14" s="50" t="n">
        <v>10</v>
      </c>
      <c r="C14" s="51" t="inlineStr">
        <is>
          <t>EUR, NAR, CHN</t>
        </is>
      </c>
      <c r="D14" s="51" t="inlineStr">
        <is>
          <t>Medium</t>
        </is>
      </c>
      <c r="E14" s="52" t="n">
        <v>5</v>
      </c>
      <c r="F14" s="53" t="inlineStr">
        <is>
          <t>Verify saving the location information as an favorite and later sending it to vehicle</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n"/>
      <c r="I14"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4"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4" s="53" t="n"/>
      <c r="L14" s="54" t="n"/>
      <c r="M14" s="53" t="n"/>
      <c r="N14" s="55" t="n"/>
    </row>
    <row r="15" ht="283.5" customHeight="1">
      <c r="B15" s="50" t="n">
        <v>11</v>
      </c>
      <c r="C15" s="51" t="inlineStr">
        <is>
          <t>EUR, NAR, CHN</t>
        </is>
      </c>
      <c r="D15" s="51" t="inlineStr">
        <is>
          <t>Medium</t>
        </is>
      </c>
      <c r="E15" s="52" t="n">
        <v>5</v>
      </c>
      <c r="F15" s="53" t="inlineStr">
        <is>
          <t>Verify saving the location information as an favorite when route guidance is active</t>
        </is>
      </c>
      <c r="H15"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5" s="53" t="inlineStr">
        <is>
          <t>After a while check whether the recently saved location details as favourite via MIB unit is updated under 'FAVORITES' &amp; 'LAST DESTINATIONS' sections of NAVIGATION screen in My Bentley App</t>
        </is>
      </c>
      <c r="J15"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5" s="53" t="n"/>
      <c r="L15" s="54" t="n"/>
      <c r="M15" s="53" t="n"/>
      <c r="N15" s="55" t="n"/>
    </row>
    <row r="16" ht="110.25" customHeight="1">
      <c r="B16" s="50" t="n">
        <v>12</v>
      </c>
      <c r="C16" s="51" t="inlineStr">
        <is>
          <t>EUR, NAR, CHN</t>
        </is>
      </c>
      <c r="D16" s="51" t="inlineStr">
        <is>
          <t>Medium</t>
        </is>
      </c>
      <c r="E16" s="52" t="n">
        <v>4</v>
      </c>
      <c r="F16" s="53" t="inlineStr">
        <is>
          <t>Verify accessing of 'CALENDAR' section under 'NAVIGATION' Screen</t>
        </is>
      </c>
      <c r="G16"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6" s="67" t="inlineStr">
        <is>
          <t>• Test Mobile should be synced and paired with Head Unit</t>
        </is>
      </c>
      <c r="I16" s="53" t="inlineStr">
        <is>
          <t>1.  In 'NAVIGATION' screen, Click on Search Window and select the CALENDAR section
2. Check for Calendar Events synced via test mobile is displayed under CALENDAR section</t>
        </is>
      </c>
      <c r="J16" s="53" t="inlineStr">
        <is>
          <t>Calendar Events Synced with test mobile should be displayed in 'CALENDAR' section under NAVIGATION screen</t>
        </is>
      </c>
      <c r="K16" s="53" t="n"/>
      <c r="L16" s="54" t="n"/>
      <c r="M16" s="53" t="n"/>
      <c r="N16" s="55" t="n"/>
    </row>
    <row r="17" ht="110.25" customHeight="1">
      <c r="B17" s="50" t="n">
        <v>13</v>
      </c>
      <c r="C17" s="51" t="inlineStr">
        <is>
          <t>EUR, NAR, CHN</t>
        </is>
      </c>
      <c r="D17" s="51" t="inlineStr">
        <is>
          <t>Low</t>
        </is>
      </c>
      <c r="E17" s="52" t="n">
        <v>4</v>
      </c>
      <c r="F17" s="53" t="inlineStr">
        <is>
          <t>Verify accessing of 'CONTACTS' section under 'NAVIGATION' Screen</t>
        </is>
      </c>
      <c r="G1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7" s="67" t="inlineStr">
        <is>
          <t>• Test Mobile should be synced and paired with Head Unit</t>
        </is>
      </c>
      <c r="I17" s="53" t="inlineStr">
        <is>
          <t>1.  In 'NAVIGATION' screen, Click on Search Window and select the CONTACTS section
2. Check for Phone Contact numbers synced via test mobile is displayed  under CONTACTS section</t>
        </is>
      </c>
      <c r="J17" s="53" t="inlineStr">
        <is>
          <t>Phone Contacts Synced with test mobile should be displayed in 'CONTACTS' section under NAVIGATION screen</t>
        </is>
      </c>
      <c r="K17" s="53" t="n"/>
      <c r="L17" s="54" t="n"/>
      <c r="M17" s="53" t="n"/>
      <c r="N17" s="55" t="n"/>
    </row>
    <row r="18" ht="32.25" customHeight="1" thickBot="1">
      <c r="B18" s="59" t="n">
        <v>15</v>
      </c>
      <c r="C18" s="60" t="inlineStr">
        <is>
          <t>EUR, NAR, CHN</t>
        </is>
      </c>
      <c r="D18" s="60" t="inlineStr">
        <is>
          <t>Medium</t>
        </is>
      </c>
      <c r="E18" s="61" t="n">
        <v>10</v>
      </c>
      <c r="F18" s="62" t="inlineStr">
        <is>
          <t>Verify all the screen with Bentley style guide.</t>
        </is>
      </c>
      <c r="G18" s="62" t="inlineStr">
        <is>
          <t>• N/A</t>
        </is>
      </c>
      <c r="H18" s="67" t="n"/>
      <c r="I18" s="62" t="inlineStr">
        <is>
          <t>Observe all the screen's icon, font, colour</t>
        </is>
      </c>
      <c r="J18" s="62" t="inlineStr">
        <is>
          <t>All the icon, font, colour should be followed as per Bentley style guide.</t>
        </is>
      </c>
      <c r="K18" s="62" t="n"/>
      <c r="L18" s="63" t="n"/>
      <c r="M18" s="62" t="n"/>
      <c r="N18" s="64" t="n"/>
    </row>
  </sheetData>
  <mergeCells count="3">
    <mergeCell ref="F3:M3"/>
    <mergeCell ref="B2:M2"/>
    <mergeCell ref="B3:C3"/>
  </mergeCells>
  <conditionalFormatting sqref="K5:K17">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12"/>
  <sheetViews>
    <sheetView topLeftCell="A8" zoomScale="80" zoomScaleNormal="80" workbookViewId="0">
      <selection activeCell="H10" sqref="H1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7.85546875" customWidth="1" style="2" min="6" max="6"/>
    <col width="50.42578125" customWidth="1" style="2" min="7" max="7"/>
    <col width="58.5703125" customWidth="1" style="2" min="8" max="8"/>
    <col width="56.28515625" customWidth="1" style="1" min="9" max="9"/>
    <col width="46"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 , CHN</t>
        </is>
      </c>
      <c r="D5" s="117" t="inlineStr">
        <is>
          <t>Medium</t>
        </is>
      </c>
      <c r="E5" s="118" t="n">
        <v>2</v>
      </c>
      <c r="F5" s="119" t="inlineStr">
        <is>
          <t>Verify accessing  'Notifications' tab in CAR REMOTE screen of My Bentley App</t>
        </is>
      </c>
      <c r="G5" s="120" t="inlineStr">
        <is>
          <t>• The screen focus is in "My Bentley App - NOTIFICATIONS" page
( My Bentley App --&gt; LOGIN OR REGISTER --&gt; Email --&gt; Enter valid email id --&gt; NEXT --&gt; Enter the Password --&gt; NEXT --&gt; Vehicle "DASHBOARD" Screen --&gt; Click on "Bell" icon (NOTIFICATIONS) )</t>
        </is>
      </c>
      <c r="H5" s="53" t="n"/>
      <c r="I5" s="200" t="inlineStr">
        <is>
          <t>Verify the contents of 'NOTIFICATIONS' page</t>
        </is>
      </c>
      <c r="J5" s="184" t="inlineStr">
        <is>
          <t>In 'NOTIFICATIONS' page, The following contents are displayed :
- Title : NOTIFICATIONS
- Tabs :  'Actions' &amp; 'Alerts'
- Last updated: Time Stamp (Ex : Fri, 24 Jan at 09.43 am)</t>
        </is>
      </c>
      <c r="K5" s="120" t="n"/>
      <c r="L5" s="121" t="n"/>
      <c r="M5" s="120" t="n"/>
      <c r="N5" s="122"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20" customHeight="1">
      <c r="B7" s="50" t="n">
        <v>3</v>
      </c>
      <c r="C7" s="51" t="inlineStr">
        <is>
          <t>EUR , NAR , CHN</t>
        </is>
      </c>
      <c r="D7" s="51" t="inlineStr">
        <is>
          <t>Medium</t>
        </is>
      </c>
      <c r="E7" s="52" t="n">
        <v>2</v>
      </c>
      <c r="F7" s="79" t="inlineStr">
        <is>
          <t>Verify accessing  'Actions'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Tap on 'Actions' tab in 'NOTIFICATIONS' page</t>
        </is>
      </c>
      <c r="J7" s="16" t="inlineStr">
        <is>
          <t>When there are no actions at all  -&gt;  'There are no new notifications to display' message should be displayed  along with crossed out bell icon 
OTHERWISE
Maximum 10 actions should be displayed which are sorted by time stamp from newest to oldest.</t>
        </is>
      </c>
      <c r="K7" s="53" t="n"/>
      <c r="L7" s="54" t="n"/>
      <c r="M7" s="53" t="n"/>
      <c r="N7" s="55" t="n"/>
    </row>
    <row r="8" ht="135" customHeight="1">
      <c r="B8" s="50" t="n">
        <v>4</v>
      </c>
      <c r="C8" s="51" t="inlineStr">
        <is>
          <t>EUR , NAR , CHN</t>
        </is>
      </c>
      <c r="D8" s="51" t="inlineStr">
        <is>
          <t>Medium</t>
        </is>
      </c>
      <c r="E8" s="52" t="n">
        <v>3</v>
      </c>
      <c r="F8" s="79" t="inlineStr">
        <is>
          <t>Verify the contents of an action in 'Actions' tab in Notification Screen</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 At least one Action should be present  in the 'Actions' list (e.g. Perform Remote Lock / Unlock operation through App)</t>
        </is>
      </c>
      <c r="I8" s="16" t="inlineStr">
        <is>
          <t>Tap on 'Actions' tab in 'NOTIFICATIONS' page and check the contents of any listed action</t>
        </is>
      </c>
      <c r="J8" s="16" t="inlineStr">
        <is>
          <t>Each action should have following contents in sequence
- Status on the actions (e.g. 'Vehicle Locked/Unlocked/Failed to Lock/Failed to unlock' etc.)
- Time stamp(e.g. 24 January 09.37 am)
- Summary/Reasons (e.g. Vehicle was successfully locked/unlocked or Failed Reason)</t>
        </is>
      </c>
      <c r="K8" s="53" t="n"/>
      <c r="L8" s="54" t="n"/>
      <c r="M8" s="53" t="n"/>
      <c r="N8" s="55" t="n"/>
    </row>
    <row r="9" ht="393.75" customHeight="1">
      <c r="B9" s="50" t="n">
        <v>5</v>
      </c>
      <c r="C9" s="51" t="inlineStr">
        <is>
          <t>EUR , NAR , CHN</t>
        </is>
      </c>
      <c r="D9" s="51" t="inlineStr">
        <is>
          <t>Medium</t>
        </is>
      </c>
      <c r="E9" s="52" t="n">
        <v>10</v>
      </c>
      <c r="F9" s="79" t="inlineStr">
        <is>
          <t>Verify 'Remote Lock / Unlock' actions are listed in the notification action list</t>
        </is>
      </c>
      <c r="G9" s="53" t="inlineStr">
        <is>
          <t>• The screen focus is in "My Bentley App - NOTIFICATIONS" page
( My Bentley App --&gt; LOGIN OR REGISTER --&gt; Email --&gt; Enter valid email id --&gt; NEXT --&gt; Enter the Password --&gt; NEXT --&gt; Vehicle "DASHBOARD" Screen --&gt; Click on "Bell" icon (NOTIFICATIONS) )</t>
        </is>
      </c>
      <c r="H9" s="53" t="n"/>
      <c r="I9" s="53" t="inlineStr">
        <is>
          <t>1. Perform multiple 'Remote Lock / Unlock' functionality in different scenarios (E.g. Ignition On, Off) through 'My Bentley App - DASHBOARD' screen
2. Refresh the 'NOTIFICATIONS - Actions' page and Check whether 'Remote Lock / Unlock' functionality actions are listed</t>
        </is>
      </c>
      <c r="J9" s="53" t="inlineStr">
        <is>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is>
      </c>
      <c r="K9" s="53" t="n"/>
      <c r="L9" s="54" t="n"/>
      <c r="M9" s="53" t="n"/>
      <c r="N9" s="55" t="n"/>
    </row>
    <row r="10" ht="120" customHeight="1">
      <c r="B10" s="50" t="n">
        <v>6</v>
      </c>
      <c r="C10" s="51" t="inlineStr">
        <is>
          <t>NAR</t>
        </is>
      </c>
      <c r="D10" s="51" t="inlineStr">
        <is>
          <t>Medium</t>
        </is>
      </c>
      <c r="E10" s="52" t="n">
        <v>3</v>
      </c>
      <c r="F10" s="79" t="inlineStr">
        <is>
          <t>Verify accessing  'Alert' tab in  'Notifications'  screen</t>
        </is>
      </c>
      <c r="G10" s="53" t="inlineStr">
        <is>
          <t>• The screen focus is in "My Bentley App - NOTIFICATIONS" page
( My Bentley App --&gt; LOGIN OR REGISTER --&gt; Email --&gt; Enter valid email id --&gt; NEXT --&gt; Enter the Password --&gt; NEXT --&gt; Vehicle "DASHBOARD" Screen --&gt; Click on "Bell" icon (NOTIFICATIONS) )</t>
        </is>
      </c>
      <c r="H10" s="53" t="n"/>
      <c r="I10" s="16" t="inlineStr">
        <is>
          <t>1. Tap on 'Alerts' tab in 'My Bentley App - NOTIFICATIONS' page</t>
        </is>
      </c>
      <c r="J10" s="16" t="inlineStr">
        <is>
          <t>When there are no alerts at all  --&gt;  'There are no new notifications to display' message should be displayed along with crossed out bell icon 
OTHERWISE
Maximum 10 alerts should be displayed which are sorted by time stamp from newest to oldest.</t>
        </is>
      </c>
      <c r="K10" s="53" t="n"/>
      <c r="L10" s="54" t="n"/>
      <c r="M10" s="53" t="n"/>
      <c r="N10" s="55" t="n"/>
    </row>
    <row r="11" ht="252" customHeight="1">
      <c r="B11" s="50" t="n">
        <v>7</v>
      </c>
      <c r="C11" s="51" t="inlineStr">
        <is>
          <t>NAR</t>
        </is>
      </c>
      <c r="D11" s="51" t="inlineStr">
        <is>
          <t>Medium</t>
        </is>
      </c>
      <c r="E11" s="52" t="n">
        <v>15</v>
      </c>
      <c r="F11" s="79" t="inlineStr">
        <is>
          <t>Verify 'Alerts' are listed in the notification Alert list</t>
        </is>
      </c>
      <c r="G11" s="53" t="inlineStr">
        <is>
          <t>• The screen focus is in "My Bentley App - NOTIFICATIONS" page
( My Bentley App --&gt; LOGIN OR REGISTER --&gt; Email --&gt; Enter valid email id --&gt; NEXT --&gt; Enter the Password --&gt; NEXT --&gt; Vehicle "DASHBOARD" Screen --&gt; Click on "Bell" icon (NOTIFICATIONS) )</t>
        </is>
      </c>
      <c r="H11" s="53" t="inlineStr">
        <is>
          <t>1. Perform multiple 'Alert'( Ex : Speed Alert, Curfew Alert , Valet Alert  and Perimeter Alert ) functionality in different scenario</t>
        </is>
      </c>
      <c r="I11" s="53" t="inlineStr">
        <is>
          <t>1. Refresh the 'NOTIFICATIONS - Alertss' page and Check whether all alerts related to 'Speed , Curfew , Valet &amp; Perimeter - Alerts' listed under 'My Bentley App - NAVIGATIONS - Alerts' screen</t>
        </is>
      </c>
      <c r="J11"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11" s="53" t="n"/>
      <c r="L11" s="54" t="n"/>
      <c r="M11" s="53" t="n"/>
      <c r="N11" s="55" t="n"/>
    </row>
    <row r="12" ht="32.25" customHeight="1" thickBot="1">
      <c r="B12" s="59" t="n">
        <v>8</v>
      </c>
      <c r="C12" s="60" t="inlineStr">
        <is>
          <t>EUR , NAR , CHN</t>
        </is>
      </c>
      <c r="D12" s="60" t="inlineStr">
        <is>
          <t>Low</t>
        </is>
      </c>
      <c r="E12" s="61" t="n">
        <v>10</v>
      </c>
      <c r="F12" s="94" t="inlineStr">
        <is>
          <t>Verify all the screen with Bentley style guide.</t>
        </is>
      </c>
      <c r="G12" s="62" t="inlineStr">
        <is>
          <t>• N/A</t>
        </is>
      </c>
      <c r="H12" s="53" t="n"/>
      <c r="I12" s="62" t="inlineStr">
        <is>
          <t>Observe all the screen's icon, font, colour</t>
        </is>
      </c>
      <c r="J12" s="62" t="inlineStr">
        <is>
          <t>All the icon, font, colour should be followed as per Bentley style guide.</t>
        </is>
      </c>
      <c r="K12" s="62" t="n"/>
      <c r="L12" s="63" t="n"/>
      <c r="M12" s="62" t="n"/>
      <c r="N12" s="64" t="n"/>
    </row>
  </sheetData>
  <mergeCells count="3">
    <mergeCell ref="F3:M3"/>
    <mergeCell ref="B2:M2"/>
    <mergeCell ref="B3:C3"/>
  </mergeCells>
  <conditionalFormatting sqref="K5:K1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B1" zoomScale="70" zoomScaleNormal="70" workbookViewId="0">
      <selection activeCell="D5" sqref="D5:E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0.7109375" customWidth="1" style="1" min="10" max="10"/>
    <col width="13.140625" customWidth="1" style="1" min="11" max="11"/>
    <col width="19.42578125" customWidth="1" style="2" min="12" max="12"/>
    <col width="18.85546875" customWidth="1" style="2" min="13" max="13"/>
    <col width="16.28515625" customWidth="1" min="14" max="14"/>
  </cols>
  <sheetData>
    <row r="1" ht="16.5" customHeight="1" thickBot="1"/>
    <row r="2" ht="29.25" customHeight="1" thickBot="1">
      <c r="B2" s="227" t="inlineStr">
        <is>
          <t>Push 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t>
        </is>
      </c>
      <c r="D5" s="117" t="inlineStr">
        <is>
          <t>High</t>
        </is>
      </c>
      <c r="E5" s="118" t="n">
        <v>10</v>
      </c>
      <c r="F5" s="119" t="inlineStr">
        <is>
          <t xml:space="preserve">Verify 'Theft Alert' Push Notifications </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201"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20"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20" t="n"/>
      <c r="L5" s="121" t="n"/>
      <c r="M5" s="120" t="n"/>
      <c r="N5" s="122"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9"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7" t="inlineStr">
        <is>
          <t>Medium</t>
        </is>
      </c>
      <c r="E7" s="177"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9"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7" t="inlineStr">
        <is>
          <t>Medium</t>
        </is>
      </c>
      <c r="E8" s="177"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9"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7" t="inlineStr">
        <is>
          <t>High</t>
        </is>
      </c>
      <c r="E9" s="177"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9"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topLeftCell="A16" zoomScale="60" zoomScaleNormal="60" workbookViewId="0">
      <selection activeCell="J7" sqref="J7"/>
    </sheetView>
  </sheetViews>
  <sheetFormatPr baseColWidth="8" defaultColWidth="8.7109375" defaultRowHeight="15"/>
  <cols>
    <col width="3.28515625" customWidth="1" min="1" max="1"/>
    <col width="6.85546875" customWidth="1" min="2" max="2"/>
    <col width="20.5703125" customWidth="1" min="3" max="3"/>
    <col width="13.42578125" customWidth="1" min="4" max="4"/>
    <col width="11.28515625" customWidth="1" style="32" min="5" max="5"/>
    <col width="37.28515625" customWidth="1" min="6" max="6"/>
    <col width="48.5703125" customWidth="1" min="7" max="7"/>
    <col width="55.140625" customWidth="1" min="8" max="8"/>
    <col width="36.7109375" customWidth="1" min="9" max="9"/>
    <col width="50.28515625" customWidth="1" min="10" max="10"/>
    <col width="14.5703125" customWidth="1" min="11" max="11"/>
    <col width="19.42578125" customWidth="1" min="12" max="12"/>
    <col width="18.85546875" customWidth="1" min="13" max="13"/>
    <col width="17.7109375" customWidth="1" min="14" max="14"/>
  </cols>
  <sheetData>
    <row r="1" ht="15.75" customHeight="1" thickBot="1"/>
    <row r="2" ht="29.25" customHeight="1" thickBot="1">
      <c r="B2" s="227" t="inlineStr">
        <is>
          <t>Profile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Primary user successfully  registered with vehicle
• My Bentley mobile app should have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 
NAR,
CHN</t>
        </is>
      </c>
      <c r="D5" s="117" t="inlineStr">
        <is>
          <t>High</t>
        </is>
      </c>
      <c r="E5" s="118" t="n">
        <v>3</v>
      </c>
      <c r="F5" s="149" t="inlineStr">
        <is>
          <t>Accessing Profile screen via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Click on 'User - Profile' icon</t>
        </is>
      </c>
      <c r="J5" s="120" t="inlineStr">
        <is>
          <t>The 'PROFILE' screen should be launched displaying : 
• Profile picture
• User name
• My Details tab
• Account tab
• General tab
• Settings / Gear icon</t>
        </is>
      </c>
      <c r="K5" s="170" t="n"/>
      <c r="L5" s="121" t="n"/>
      <c r="M5" s="121" t="n"/>
      <c r="N5" s="172" t="n"/>
    </row>
    <row r="6" ht="110.25" customHeight="1">
      <c r="B6" s="50" t="n">
        <v>2</v>
      </c>
      <c r="C6" s="51" t="inlineStr">
        <is>
          <t>EUR, 
NAR,
CHN</t>
        </is>
      </c>
      <c r="D6" s="51" t="inlineStr">
        <is>
          <t>High</t>
        </is>
      </c>
      <c r="E6" s="52" t="n">
        <v>3</v>
      </c>
      <c r="F6" s="111"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1"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1"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1"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1"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1"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1"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1"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1"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1"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1"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1"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1"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1"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1"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6"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1"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6" t="n"/>
      <c r="N23" s="134"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109375" defaultRowHeight="15.75"/>
  <cols>
    <col width="8.7109375" customWidth="1" style="46"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2.28515625" customWidth="1" style="44" min="10" max="10"/>
    <col width="13.140625" customWidth="1" style="44" min="11" max="11"/>
    <col width="19.42578125" customWidth="1" style="43" min="12" max="12"/>
    <col width="18.85546875" customWidth="1" style="43" min="13" max="13"/>
    <col width="14" customWidth="1" style="46" min="14" max="14"/>
    <col width="8.7109375" customWidth="1" style="46" min="15" max="36"/>
    <col width="8.7109375" customWidth="1" style="46" min="37" max="16384"/>
  </cols>
  <sheetData>
    <row r="1" ht="16.5" customHeight="1" thickBot="1"/>
    <row r="2" ht="29.25" customHeight="1" thickBot="1">
      <c r="B2" s="227" t="inlineStr">
        <is>
          <t>Localization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25" t="n"/>
      <c r="H3" s="225" t="n"/>
      <c r="I3" s="225" t="n"/>
      <c r="J3" s="225" t="n"/>
      <c r="K3" s="225" t="n"/>
      <c r="L3" s="225" t="n"/>
      <c r="M3" s="226" t="n"/>
    </row>
    <row r="4" ht="48" customHeight="1" thickBot="1">
      <c r="A4" t="inlineStr"/>
      <c r="B4" s="210" t="inlineStr">
        <is>
          <t>TC ID</t>
        </is>
      </c>
      <c r="C4" s="211" t="inlineStr">
        <is>
          <t>Region</t>
        </is>
      </c>
      <c r="D4" s="211" t="inlineStr">
        <is>
          <t>Test Priority</t>
        </is>
      </c>
      <c r="E4" s="212" t="inlineStr">
        <is>
          <t>Overall Effort (in Mins)</t>
        </is>
      </c>
      <c r="F4" s="211" t="inlineStr">
        <is>
          <t>Test Case Title</t>
        </is>
      </c>
      <c r="G4" s="211" t="inlineStr">
        <is>
          <t>Pre-Condition</t>
        </is>
      </c>
      <c r="H4" s="211" t="inlineStr">
        <is>
          <t>Pre-Condition (Vehicle)</t>
        </is>
      </c>
      <c r="I4" s="211" t="inlineStr">
        <is>
          <t>Action</t>
        </is>
      </c>
      <c r="J4" s="211" t="inlineStr">
        <is>
          <t>Expected Result</t>
        </is>
      </c>
      <c r="K4" s="211" t="inlineStr">
        <is>
          <t>Actual Result</t>
        </is>
      </c>
      <c r="L4" s="211" t="inlineStr">
        <is>
          <t>Test Result</t>
        </is>
      </c>
      <c r="M4" s="211" t="inlineStr">
        <is>
          <t>No Of Observations</t>
        </is>
      </c>
      <c r="N4" s="213" t="inlineStr">
        <is>
          <t>Defect IDs/Comments</t>
        </is>
      </c>
    </row>
    <row r="5" ht="78.75" customHeight="1">
      <c r="B5" s="214" t="n">
        <v>1</v>
      </c>
      <c r="C5" s="121" t="inlineStr">
        <is>
          <t>NAR, EUR, CHN</t>
        </is>
      </c>
      <c r="D5" s="121" t="inlineStr">
        <is>
          <t>High</t>
        </is>
      </c>
      <c r="E5" s="215" t="n">
        <v>30</v>
      </c>
      <c r="F5" s="216" t="inlineStr">
        <is>
          <t>Verify Text String validation in My Bentley App (English Language)</t>
        </is>
      </c>
      <c r="G5" s="194" t="inlineStr">
        <is>
          <t>•  Test Mobile language set to "English"</t>
        </is>
      </c>
      <c r="H5" s="194" t="n"/>
      <c r="I5" s="217" t="inlineStr">
        <is>
          <t>1. Check for text strings for all My Bentley features or services which can be validated via 'My Bentley App'</t>
        </is>
      </c>
      <c r="J5" s="194" t="inlineStr">
        <is>
          <t>Text Strings should be displayed correctly(i.e. No Junk Characters , Missing letters …etc.) and align as per Bentley Standards for English language in 'My Bentley App'</t>
        </is>
      </c>
      <c r="K5" s="194" t="n"/>
      <c r="L5" s="121" t="n"/>
      <c r="M5" s="194" t="n"/>
      <c r="N5" s="141" t="n"/>
    </row>
    <row r="6" ht="79.5" customHeight="1" thickBot="1">
      <c r="B6" s="202" t="n">
        <v>2</v>
      </c>
      <c r="C6" s="63" t="inlineStr">
        <is>
          <t>NAR, EUR, CHN</t>
        </is>
      </c>
      <c r="D6" s="63" t="inlineStr">
        <is>
          <t>High</t>
        </is>
      </c>
      <c r="E6" s="203" t="n">
        <v>30</v>
      </c>
      <c r="F6" s="204" t="inlineStr">
        <is>
          <t>Verify Text String validation in My Bentley App (Region Specific Languages)</t>
        </is>
      </c>
      <c r="G6" s="205" t="inlineStr">
        <is>
          <t>•  Test Mobile language set to region specific languages other then "English"</t>
        </is>
      </c>
      <c r="H6" s="205" t="n"/>
      <c r="I6" s="206" t="inlineStr">
        <is>
          <t xml:space="preserve">1. Check for text strings for all My Bentley features or services which can be validated via 'My Bentley App'
</t>
        </is>
      </c>
      <c r="J6" s="205" t="inlineStr">
        <is>
          <t>Text Strings should be displayed correctly(i.e. No Junk Characters , Missing letters …etc.) and align as per Bentley Standards for all region specific languages in 'My Bentley App'</t>
        </is>
      </c>
      <c r="K6" s="205" t="n"/>
      <c r="L6" s="63" t="n"/>
      <c r="M6" s="205" t="n"/>
      <c r="N6" s="207" t="n"/>
    </row>
    <row r="7">
      <c r="F7" s="175" t="n"/>
      <c r="G7" s="175" t="n"/>
      <c r="H7" s="175" t="n"/>
      <c r="I7" s="175" t="n"/>
      <c r="J7" s="175" t="n"/>
      <c r="K7" s="175" t="n"/>
      <c r="L7" s="175" t="n"/>
      <c r="M7" s="175"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1"/>
  <sheetViews>
    <sheetView topLeftCell="A8" zoomScale="70" zoomScaleNormal="70" workbookViewId="0">
      <selection activeCell="F5" sqref="F5:J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90.140625" customWidth="1" style="2" min="6" max="6"/>
    <col width="50.42578125" customWidth="1" style="2" min="7" max="7"/>
    <col width="58.5703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28515625" customWidth="1" min="14" max="14"/>
  </cols>
  <sheetData>
    <row r="1" ht="16.5" customHeight="1" thickBot="1"/>
    <row r="2" ht="29.25" customHeight="1" thickBot="1">
      <c r="B2" s="242" t="inlineStr">
        <is>
          <t>Privacy Mode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21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127" t="n">
        <v>1</v>
      </c>
      <c r="C5" s="117" t="inlineStr">
        <is>
          <t>EUR , NAR , CHN</t>
        </is>
      </c>
      <c r="D5" s="117" t="inlineStr">
        <is>
          <t>High</t>
        </is>
      </c>
      <c r="E5" s="118" t="n">
        <v>10</v>
      </c>
      <c r="F5" s="119" t="inlineStr">
        <is>
          <t>Verify accessing of My Bentley App Services when max privacy is deactivated</t>
        </is>
      </c>
      <c r="H5" s="120" t="inlineStr">
        <is>
          <t>• Privacy Mode is deactivated ( Full Privacy Mode = OFF)
( HU HMI --&gt; Settings --&gt; Privacy)
Activating privacy mode = Disabled
Use personal data = Enabled
Use vehicle position = Enabled
Share vehicle position = Enabled
Data collection requests from My Bentley = Disabled
Pseudonymised data = Disabled
Anonymised data = Disabled</t>
        </is>
      </c>
      <c r="I5" s="184" t="inlineStr">
        <is>
          <t xml:space="preserve">Check the status of all My Bentley App Features (in Dash Board, Car Remote and Navigation tab) : </t>
        </is>
      </c>
      <c r="J5" s="120" t="inlineStr">
        <is>
          <t>All My Bentley Mobile App features and subfeatures should  be accessible without any issue</t>
        </is>
      </c>
      <c r="K5" s="22" t="n"/>
      <c r="L5" s="23" t="n"/>
      <c r="M5" s="22" t="n"/>
      <c r="N5" s="24" t="n"/>
    </row>
    <row r="6" ht="267.75" customHeight="1">
      <c r="B6" s="50" t="n">
        <v>2</v>
      </c>
      <c r="C6" s="51" t="inlineStr">
        <is>
          <t>EUR , NAR , CHN</t>
        </is>
      </c>
      <c r="D6" s="51" t="inlineStr">
        <is>
          <t>High</t>
        </is>
      </c>
      <c r="E6" s="52" t="n">
        <v>10</v>
      </c>
      <c r="F6" s="79" t="inlineStr">
        <is>
          <t>Verify accessing of My Bentley App Services when max privacy is activated</t>
        </is>
      </c>
      <c r="G6" s="53" t="inlineStr">
        <is>
          <t>• Sign In to My Bentley App and check for the below mentioned "My Bentley Mobile App features" when max privacy is enabled ( Launch "My Bentley App" --&gt; Sign In )</t>
        </is>
      </c>
      <c r="H6"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6" s="16" t="inlineStr">
        <is>
          <t xml:space="preserve">Check the status of all My Bentley App Features (in Dash Board, Car Remote and Navigation tab) : </t>
        </is>
      </c>
      <c r="J6"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6" s="3" t="n"/>
      <c r="L6" s="9" t="n"/>
      <c r="M6" s="3" t="n"/>
      <c r="N6" s="13" t="n"/>
    </row>
    <row r="7" ht="409.5" customHeight="1">
      <c r="B7" s="50" t="n">
        <v>3</v>
      </c>
      <c r="C7" s="51" t="inlineStr">
        <is>
          <t>EUR , NAR , CHN</t>
        </is>
      </c>
      <c r="D7" s="51" t="inlineStr">
        <is>
          <t>High</t>
        </is>
      </c>
      <c r="E7" s="52" t="n">
        <v>10</v>
      </c>
      <c r="F7" s="79" t="inlineStr">
        <is>
          <t xml:space="preserve">Verify accessing of My Bentley App Services when Online Services  -&gt; Use Personal Data = OFF </t>
        </is>
      </c>
      <c r="H7"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7"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7"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7" s="3" t="n"/>
      <c r="L7" s="9" t="n"/>
      <c r="M7" s="3" t="n"/>
      <c r="N7" s="13" t="n"/>
    </row>
    <row r="8" ht="409.5" customHeight="1">
      <c r="B8" s="50" t="n">
        <v>4</v>
      </c>
      <c r="C8" s="51" t="inlineStr">
        <is>
          <t>EUR , NAR , CHN</t>
        </is>
      </c>
      <c r="D8" s="51" t="inlineStr">
        <is>
          <t>High</t>
        </is>
      </c>
      <c r="E8" s="52" t="n">
        <v>10</v>
      </c>
      <c r="F8" s="79" t="inlineStr">
        <is>
          <t xml:space="preserve">Verify accessing of My Bentley App Services when Online Services  -&gt; Use Vehicle Position  = OFF </t>
        </is>
      </c>
      <c r="H8"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8"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8"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8" s="3" t="n"/>
      <c r="L8" s="9" t="n"/>
      <c r="M8" s="3" t="n"/>
      <c r="N8" s="13" t="n"/>
    </row>
    <row r="9" ht="409.5" customHeight="1">
      <c r="B9" s="50" t="n">
        <v>5</v>
      </c>
      <c r="C9" s="51" t="inlineStr">
        <is>
          <t>EUR , NAR , CHN</t>
        </is>
      </c>
      <c r="D9" s="51" t="inlineStr">
        <is>
          <t>High</t>
        </is>
      </c>
      <c r="E9" s="52" t="n">
        <v>10</v>
      </c>
      <c r="F9" s="79" t="inlineStr">
        <is>
          <t xml:space="preserve">Verify accessing of My Bentley App Services when Online Services  -&gt; Share Vehicle Position  = OFF </t>
        </is>
      </c>
      <c r="H9"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9"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9"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9" s="3" t="n"/>
      <c r="L9" s="9" t="n"/>
      <c r="M9" s="3" t="n"/>
      <c r="N9" s="13" t="n"/>
    </row>
    <row r="10" ht="32.25" customHeight="1" thickBot="1">
      <c r="B10" s="59" t="n">
        <v>6</v>
      </c>
      <c r="C10" s="60" t="inlineStr">
        <is>
          <t>EUR , NAR , CHN</t>
        </is>
      </c>
      <c r="D10" s="60" t="inlineStr">
        <is>
          <t>Medium</t>
        </is>
      </c>
      <c r="E10" s="61" t="n">
        <v>10</v>
      </c>
      <c r="F10" s="94" t="inlineStr">
        <is>
          <t>Verify all the screen with Bentley style guide.</t>
        </is>
      </c>
      <c r="G10" s="62" t="inlineStr">
        <is>
          <t>• N/A</t>
        </is>
      </c>
      <c r="H10" s="53" t="n"/>
      <c r="I10" s="62" t="inlineStr">
        <is>
          <t>Observe all the screen's icon, font, colour</t>
        </is>
      </c>
      <c r="J10" s="62" t="inlineStr">
        <is>
          <t>All the icon, font, colour should be followed as per Bentley style guide.</t>
        </is>
      </c>
      <c r="K10" s="6" t="n"/>
      <c r="L10" s="11" t="n"/>
      <c r="M10" s="6" t="n"/>
      <c r="N10" s="14" t="n"/>
    </row>
    <row r="11">
      <c r="F11" s="40" t="n"/>
      <c r="G11" s="40" t="n"/>
      <c r="H11" s="40" t="n"/>
      <c r="I11" s="40" t="n"/>
      <c r="J11" s="40" t="n"/>
      <c r="K11" s="40" t="n"/>
      <c r="L11" s="40" t="n"/>
      <c r="M11" s="40" t="n"/>
    </row>
  </sheetData>
  <mergeCells count="3">
    <mergeCell ref="F3:M3"/>
    <mergeCell ref="B2:M2"/>
    <mergeCell ref="B3:C3"/>
  </mergeCells>
  <conditionalFormatting sqref="K5:K9">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7"/>
  <sheetViews>
    <sheetView topLeftCell="A6" zoomScale="80" zoomScaleNormal="80" workbookViewId="0">
      <selection activeCell="I53" sqref="I53"/>
    </sheetView>
  </sheetViews>
  <sheetFormatPr baseColWidth="8" defaultColWidth="8.7109375" defaultRowHeight="15.75"/>
  <cols>
    <col width="10.28515625" customWidth="1" style="2" min="2" max="2"/>
    <col width="28.5703125" customWidth="1" style="8" min="3" max="3"/>
    <col width="14.5703125" customWidth="1" style="2" min="4" max="4"/>
    <col width="11.28515625" customWidth="1" style="36" min="5" max="5"/>
    <col width="40.42578125" customWidth="1" style="2" min="6" max="6"/>
    <col width="50.42578125" customWidth="1" style="2" min="7" max="7"/>
    <col width="60.85546875" customWidth="1" style="2" min="8" max="8"/>
    <col width="56.28515625" customWidth="1" style="1" min="9" max="9"/>
    <col width="41" customWidth="1" style="1" min="10" max="10"/>
    <col width="13.140625" customWidth="1" style="1" min="11" max="11"/>
    <col width="19.42578125" customWidth="1" style="2" min="12" max="12"/>
    <col width="18.85546875" customWidth="1" style="2" min="13" max="13"/>
    <col width="15.140625" customWidth="1" min="14" max="14"/>
  </cols>
  <sheetData>
    <row r="1" ht="16.5" customHeight="1" thickBot="1"/>
    <row r="2" ht="29.25" customHeight="1" thickBot="1">
      <c r="B2" s="227" t="inlineStr">
        <is>
          <t>Remote Park Assist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25" t="n"/>
      <c r="H3" s="225" t="n"/>
      <c r="I3" s="225" t="n"/>
      <c r="J3" s="225" t="n"/>
      <c r="K3" s="225" t="n"/>
      <c r="L3" s="225" t="n"/>
      <c r="M3" s="226" t="n"/>
    </row>
    <row r="4" ht="48" customHeight="1" thickBot="1">
      <c r="A4" t="inlineStr"/>
      <c r="B4" s="181" t="inlineStr">
        <is>
          <t>TC ID</t>
        </is>
      </c>
      <c r="C4" s="181" t="inlineStr">
        <is>
          <t>Region</t>
        </is>
      </c>
      <c r="D4" s="181" t="inlineStr">
        <is>
          <t>Test Priority</t>
        </is>
      </c>
      <c r="E4" s="219" t="inlineStr">
        <is>
          <t>Overall Effort (in Mins)</t>
        </is>
      </c>
      <c r="F4" s="181" t="inlineStr">
        <is>
          <t>Test Case Title</t>
        </is>
      </c>
      <c r="G4" s="181" t="inlineStr">
        <is>
          <t>Pre-Condition</t>
        </is>
      </c>
      <c r="H4" s="181" t="inlineStr">
        <is>
          <t>Pre-Condition (Vehicle)</t>
        </is>
      </c>
      <c r="I4" s="181" t="inlineStr">
        <is>
          <t>Action</t>
        </is>
      </c>
      <c r="J4" s="181" t="inlineStr">
        <is>
          <t>Expected Result</t>
        </is>
      </c>
      <c r="K4" s="181" t="inlineStr">
        <is>
          <t>Actual Result</t>
        </is>
      </c>
      <c r="L4" s="181" t="inlineStr">
        <is>
          <t>Test Result</t>
        </is>
      </c>
      <c r="M4" s="181" t="inlineStr">
        <is>
          <t>No Of Observations</t>
        </is>
      </c>
      <c r="N4" s="181" t="inlineStr">
        <is>
          <t>Defect IDs/Comments</t>
        </is>
      </c>
    </row>
    <row r="5" ht="409.5" customHeight="1">
      <c r="B5" s="127" t="n">
        <v>1</v>
      </c>
      <c r="C5" s="117" t="inlineStr">
        <is>
          <t>EUR , NAR , CHN</t>
        </is>
      </c>
      <c r="D5" s="117" t="inlineStr">
        <is>
          <t>High</t>
        </is>
      </c>
      <c r="E5" s="118">
        <f>(2+2+2)/3</f>
        <v/>
      </c>
      <c r="F5" s="119" t="inlineStr">
        <is>
          <t>Verify 'Remote Parking' section in CAR REMOTE screen</t>
        </is>
      </c>
      <c r="G5" s="120"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20"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20"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20" t="n"/>
      <c r="L5" s="121" t="n"/>
      <c r="M5" s="120" t="n"/>
      <c r="N5" s="122"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8"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283.5" customHeight="1">
      <c r="B56" s="50" t="n">
        <v>52</v>
      </c>
      <c r="C56" s="51" t="inlineStr">
        <is>
          <t>EUR , NAR , CHN</t>
        </is>
      </c>
      <c r="D56" s="51" t="inlineStr">
        <is>
          <t>Medium</t>
        </is>
      </c>
      <c r="E56" s="52">
        <f>(10+10+10)/3</f>
        <v/>
      </c>
      <c r="F56" s="79" t="inlineStr">
        <is>
          <t>Verify 'Remote Parking' feature in My Bentley App when Privacy Mode is activated</t>
        </is>
      </c>
      <c r="G56" s="53" t="n"/>
      <c r="H5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56" s="53" t="inlineStr">
        <is>
          <t>1. Check for 'REMOTE PARKING' section in 'CAR REMOTE' screen
( My Bentley App --&gt; SIGN IN --&gt; Vehicle 'DASHBOARD' screen --&gt;Click on 'CAR REMOTE' tab)</t>
        </is>
      </c>
      <c r="J56" s="53" t="inlineStr">
        <is>
          <t>1. 'REMOTE PARKING' section should be greyed out and should display the status as 'Function not available ' under 'CAR REMOTE' screen when max privacy mode is activated</t>
        </is>
      </c>
      <c r="K56" s="53" t="n"/>
      <c r="L56" s="54" t="n"/>
      <c r="M56" s="53" t="n"/>
      <c r="N56" s="55" t="n"/>
    </row>
    <row r="57" ht="32.25" customHeight="1" thickBot="1">
      <c r="B57" s="59" t="n">
        <v>53</v>
      </c>
      <c r="C57" s="60" t="inlineStr">
        <is>
          <t>EUR , NAR , CHN</t>
        </is>
      </c>
      <c r="D57" s="60" t="inlineStr">
        <is>
          <t>Low</t>
        </is>
      </c>
      <c r="E57" s="61">
        <f>(15+10+10)/3</f>
        <v/>
      </c>
      <c r="F57" s="94" t="inlineStr">
        <is>
          <t>Verify all the screen with Bentley style guide.</t>
        </is>
      </c>
      <c r="G57" s="62" t="inlineStr">
        <is>
          <t>N/A</t>
        </is>
      </c>
      <c r="H57" s="53" t="n"/>
      <c r="I57" s="62" t="inlineStr">
        <is>
          <t>Observe all the screen's icon, font, colour</t>
        </is>
      </c>
      <c r="J57" s="62" t="inlineStr">
        <is>
          <t>All the icon, font, colour should be followed as per Bentley style guide.</t>
        </is>
      </c>
      <c r="K57" s="62" t="n"/>
      <c r="L57" s="63" t="n"/>
      <c r="M57" s="62" t="n"/>
      <c r="N57" s="64" t="n"/>
    </row>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7">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64"/>
  <sheetViews>
    <sheetView topLeftCell="A63" zoomScale="70" zoomScaleNormal="70" workbookViewId="0">
      <selection activeCell="H62" sqref="H62"/>
    </sheetView>
  </sheetViews>
  <sheetFormatPr baseColWidth="8" defaultColWidth="8.7109375" defaultRowHeight="15.75"/>
  <cols>
    <col width="10.28515625" customWidth="1" style="2" min="2" max="2"/>
    <col width="11.140625" customWidth="1" style="8" min="3" max="3"/>
    <col width="14.5703125" customWidth="1" style="2" min="4" max="4"/>
    <col width="15.5703125" customWidth="1" style="36" min="5" max="5"/>
    <col width="86" customWidth="1" style="2" min="6" max="6"/>
    <col width="50.42578125" customWidth="1" style="2" min="7" max="7"/>
    <col width="65" customWidth="1" style="2" min="8" max="8"/>
    <col width="58.42578125" customWidth="1" style="1" min="9" max="9"/>
    <col width="49.140625" customWidth="1" style="1" min="10" max="10"/>
    <col width="13.140625" customWidth="1" style="1" min="11" max="11"/>
    <col width="19.42578125" customWidth="1" style="2" min="12" max="12"/>
    <col width="18.85546875" customWidth="1" style="2" min="13" max="13"/>
    <col width="17.42578125" customWidth="1" min="14" max="14"/>
  </cols>
  <sheetData>
    <row r="1" ht="16.5" customHeight="1" thickBot="1"/>
    <row r="2" ht="29.25" customHeight="1" thickBot="1">
      <c r="B2" s="227" t="inlineStr">
        <is>
          <t>Stolen Vehicle Tracking</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1. Before starting each scenario, Please follow : 
a. Ignition = Off
b. Open &amp; Close Door
c. Wait 3 mins for complete vehicle bus sleep
d. While performing drive scenarios, Request to drive for &gt;500 m with Speed &gt;8Km/Hr on a straight road</t>
        </is>
      </c>
      <c r="G3" s="225" t="n"/>
      <c r="H3" s="225" t="n"/>
      <c r="I3" s="225" t="n"/>
      <c r="J3" s="225" t="n"/>
      <c r="K3" s="225" t="n"/>
      <c r="L3" s="225" t="n"/>
      <c r="M3" s="226" t="n"/>
    </row>
    <row r="4" ht="32.25" customHeight="1" thickBot="1">
      <c r="A4" t="inlineStr"/>
      <c r="B4" s="114" t="inlineStr">
        <is>
          <t>TC ID</t>
        </is>
      </c>
      <c r="C4" s="114" t="inlineStr">
        <is>
          <t>Region</t>
        </is>
      </c>
      <c r="D4" s="114" t="inlineStr">
        <is>
          <t>Test Priority</t>
        </is>
      </c>
      <c r="E4" s="115" t="inlineStr">
        <is>
          <t>Overall Effort (in Mins)</t>
        </is>
      </c>
      <c r="F4" s="114" t="inlineStr">
        <is>
          <t>Test Case Title</t>
        </is>
      </c>
      <c r="G4" s="114" t="inlineStr">
        <is>
          <t>Pre-Condition</t>
        </is>
      </c>
      <c r="H4" s="114" t="inlineStr">
        <is>
          <t>Pre-Condition (Vehicle)</t>
        </is>
      </c>
      <c r="I4" s="114" t="inlineStr">
        <is>
          <t>Action</t>
        </is>
      </c>
      <c r="J4" s="114" t="inlineStr">
        <is>
          <t>Expected Result</t>
        </is>
      </c>
      <c r="K4" s="114" t="inlineStr">
        <is>
          <t>Actual Result</t>
        </is>
      </c>
      <c r="L4" s="114" t="inlineStr">
        <is>
          <t>Test Result</t>
        </is>
      </c>
      <c r="M4" s="114" t="inlineStr">
        <is>
          <t>No Of Observations</t>
        </is>
      </c>
      <c r="N4" s="114" t="inlineStr">
        <is>
          <t>Defect IDs/Comments</t>
        </is>
      </c>
    </row>
    <row r="5" ht="126" customHeight="1">
      <c r="B5" s="116" t="n">
        <v>1</v>
      </c>
      <c r="C5" s="117" t="inlineStr">
        <is>
          <t>EUR</t>
        </is>
      </c>
      <c r="D5" s="117" t="inlineStr">
        <is>
          <t>High</t>
        </is>
      </c>
      <c r="E5" s="118" t="n">
        <v>3</v>
      </c>
      <c r="F5" s="119" t="inlineStr">
        <is>
          <t>Check for VTS [Vehicle Tracking System / Stolen Vehicle Tracking] License for UK based vehicles</t>
        </is>
      </c>
      <c r="G5" s="119"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9" t="inlineStr">
        <is>
          <t xml:space="preserve">1. Tap on 'My Bentley in-car services' to check the VTS [Vehicle Tracking System / Stolen Vehicle Tracking] License details </t>
        </is>
      </c>
      <c r="J5" s="120" t="inlineStr">
        <is>
          <t>1. 'My Bentley in-car services' license package should be displayed for UK based vehicle with expiry date (in DD.MM.YYYY format and valid for +3 years from now) :
- Vehicle Tracking System (Only EU)</t>
        </is>
      </c>
      <c r="K5" s="120" t="n"/>
      <c r="L5" s="121" t="n"/>
      <c r="M5" s="120" t="n"/>
      <c r="N5" s="122"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My Bentley App is installed on IOS / ANDROID mobile device
• Log In to My Bentley App with valid credentials</t>
        </is>
      </c>
      <c r="H7" s="79" t="inlineStr">
        <is>
          <t>• Internet Service should be enabled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My Bentley App is installed in either Apple or Android mobile devices</t>
        </is>
      </c>
      <c r="H8" s="79" t="inlineStr">
        <is>
          <t>• Internet Service should be enabled 
•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My Bentley App is installed on IOS / Android Mobile device</t>
        </is>
      </c>
      <c r="H9" s="79" t="inlineStr">
        <is>
          <t>• Internet Service should be enabled
•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My Bentley App is installed in either Apple or Android mobile devices</t>
        </is>
      </c>
      <c r="H1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My Bentley App is installed in either Apple or Android mobile devices</t>
        </is>
      </c>
      <c r="H1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My Bentley App is installed in either Apple or Android mobile devices</t>
        </is>
      </c>
      <c r="H12"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My Bentley App is installed in either Apple or Android mobile devices</t>
        </is>
      </c>
      <c r="H13"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My Bentley App is installed in either Apple or Android mobile devices</t>
        </is>
      </c>
      <c r="H14"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My Bentley App is installed in either Apple or Android mobile devices</t>
        </is>
      </c>
      <c r="H15"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My Bentley App is installed in either Apple or Android mobile devices</t>
        </is>
      </c>
      <c r="H16"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My Bentley App is installed in either Apple or Android mobile devices</t>
        </is>
      </c>
      <c r="H17"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My Bentley App is installed on IOS / ANDROID mobile device
• Log-In to My Bentley App with valid credentials</t>
        </is>
      </c>
      <c r="H18"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n"/>
      <c r="H1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n"/>
      <c r="H2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n"/>
      <c r="H21"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n"/>
      <c r="H22"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My Bentley App is installed in either Apple or Android mobile devices</t>
        </is>
      </c>
      <c r="H23"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393.75"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t>
        </is>
      </c>
      <c r="G24" s="53" t="inlineStr">
        <is>
          <t>• My Bentley App is installed in either Apple or Android mobile devices</t>
        </is>
      </c>
      <c r="H2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is>
      </c>
      <c r="K24" s="53" t="n"/>
      <c r="L24" s="54" t="n"/>
      <c r="M24" s="53" t="n"/>
      <c r="N24" s="55" t="n"/>
    </row>
    <row r="25" ht="409.5" customHeight="1">
      <c r="B25" s="50" t="n">
        <v>21</v>
      </c>
      <c r="C25" s="51" t="inlineStr">
        <is>
          <t>EUR</t>
        </is>
      </c>
      <c r="D25" s="51" t="inlineStr">
        <is>
          <t>Medium</t>
        </is>
      </c>
      <c r="E25" s="52">
        <f>(5+5+5)/3</f>
        <v/>
      </c>
      <c r="F25" s="53" t="inlineStr">
        <is>
          <t>Check for 'Garage Mode' activation status displayed under 'STOLEN VEHICLE TRACKING - My Alerts' screen[Garage Mode = ON]</t>
        </is>
      </c>
      <c r="G25"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25" s="79" t="n"/>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is>
      </c>
      <c r="J25"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is>
      </c>
      <c r="K25" s="53" t="n"/>
      <c r="L25" s="54" t="n"/>
      <c r="M25" s="53" t="n"/>
      <c r="N25" s="55" t="n"/>
    </row>
    <row r="26" ht="409.5" customHeight="1">
      <c r="B26" s="50" t="n">
        <v>22</v>
      </c>
      <c r="C26" s="51" t="inlineStr">
        <is>
          <t>EUR</t>
        </is>
      </c>
      <c r="D26" s="51" t="inlineStr">
        <is>
          <t>Medium</t>
        </is>
      </c>
      <c r="E26" s="52" t="n">
        <v>7</v>
      </c>
      <c r="F26" s="53" t="inlineStr">
        <is>
          <t>Check whether 'Garage Mode' is automatically disabled once the set timer expires under VTS [Vehicle Tracking System / Stolen Vehicle Tracking] feature in My Bentley App</t>
        </is>
      </c>
      <c r="G26" s="53" t="inlineStr">
        <is>
          <t>• My Bentley App is installed in either Apple or Android mobile devices</t>
        </is>
      </c>
      <c r="H26" s="79" t="inlineStr">
        <is>
          <t>• Internet Service should be enabled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6"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6"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6" s="53" t="n"/>
      <c r="L26" s="54" t="n"/>
      <c r="M26" s="53" t="n"/>
      <c r="N26" s="55" t="n"/>
    </row>
    <row r="27" ht="378" customHeight="1">
      <c r="B27" s="50" t="n">
        <v>23</v>
      </c>
      <c r="C27" s="51" t="inlineStr">
        <is>
          <t>EUR</t>
        </is>
      </c>
      <c r="D27" s="51" t="inlineStr">
        <is>
          <t>Medium</t>
        </is>
      </c>
      <c r="E27" s="52" t="n">
        <v>7</v>
      </c>
      <c r="F27" s="53" t="inlineStr">
        <is>
          <t>Check whether 'Garage Mode' can be disabled under VTS [Vehicle Tracking System / Stolen Vehicle Tracking] service in My Bentley App</t>
        </is>
      </c>
      <c r="G27"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is>
      </c>
      <c r="J27" s="53" t="inlineStr">
        <is>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is>
      </c>
      <c r="K27" s="53" t="n"/>
      <c r="L27" s="54" t="n"/>
      <c r="M27" s="53" t="n"/>
      <c r="N27" s="55" t="n"/>
    </row>
    <row r="28" ht="393.75" customHeight="1">
      <c r="B28" s="50" t="n">
        <v>24</v>
      </c>
      <c r="C28" s="51" t="inlineStr">
        <is>
          <t>EUR</t>
        </is>
      </c>
      <c r="D28" s="51" t="inlineStr">
        <is>
          <t>High</t>
        </is>
      </c>
      <c r="E28" s="52" t="n">
        <v>7</v>
      </c>
      <c r="F28" s="53" t="inlineStr">
        <is>
          <t>Check whether 'Transport Mode' can be enabled under VTS [Vehicle Tracking System / Stolen Vehicle Tracking] service in My Bentley App</t>
        </is>
      </c>
      <c r="G28" s="53" t="inlineStr">
        <is>
          <t>• My Bentley App is installed in either Apple or Android mobile devices</t>
        </is>
      </c>
      <c r="H2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is>
      </c>
      <c r="K28" s="53" t="n"/>
      <c r="L28" s="54" t="n"/>
      <c r="M28" s="53" t="n"/>
      <c r="N28" s="55" t="n"/>
    </row>
    <row r="29" ht="409.5" customHeight="1">
      <c r="B29" s="50" t="n">
        <v>25</v>
      </c>
      <c r="C29" s="51" t="inlineStr">
        <is>
          <t>EUR</t>
        </is>
      </c>
      <c r="D29" s="51" t="inlineStr">
        <is>
          <t>Medium</t>
        </is>
      </c>
      <c r="E29" s="52" t="n">
        <v>7</v>
      </c>
      <c r="F29" s="53" t="inlineStr">
        <is>
          <t>Check for 'Transport Mode' activation status displayed under 'STOLEN VEHICLE TRACKING - My Alerts' screen[Transport Mode = ON]</t>
        </is>
      </c>
      <c r="G29" s="53" t="inlineStr">
        <is>
          <t>• My Bentley App is installed in either Apple or Android mobile devices</t>
        </is>
      </c>
      <c r="H2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is>
      </c>
      <c r="J29"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is>
      </c>
      <c r="K29" s="53" t="n"/>
      <c r="L29" s="54" t="n"/>
      <c r="M29" s="53" t="n"/>
      <c r="N29" s="55" t="n"/>
    </row>
    <row r="30" ht="409.5" customHeight="1">
      <c r="B30" s="50" t="n">
        <v>26</v>
      </c>
      <c r="C30" s="51" t="inlineStr">
        <is>
          <t>EUR</t>
        </is>
      </c>
      <c r="D30" s="51" t="inlineStr">
        <is>
          <t>Medium</t>
        </is>
      </c>
      <c r="E30" s="52" t="n">
        <v>7</v>
      </c>
      <c r="F30" s="53" t="inlineStr">
        <is>
          <t>Check whether 'Transport Mode' is automatically disabled once the set timer expires under VTS [Vehicle Tracking System / Stolen Vehicle Tracking] option in My Bentley App</t>
        </is>
      </c>
      <c r="G30"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t>
        </is>
      </c>
      <c r="H30" s="79" t="n"/>
      <c r="I30"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30"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30" s="53" t="n"/>
      <c r="L30" s="54" t="n"/>
      <c r="M30" s="53" t="n"/>
      <c r="N30" s="55" t="n"/>
    </row>
    <row r="31" ht="378" customHeight="1">
      <c r="B31" s="50" t="n">
        <v>27</v>
      </c>
      <c r="C31" s="51" t="inlineStr">
        <is>
          <t>EUR</t>
        </is>
      </c>
      <c r="D31" s="51" t="inlineStr">
        <is>
          <t>Medium</t>
        </is>
      </c>
      <c r="E31" s="52" t="n">
        <v>7</v>
      </c>
      <c r="F31" s="53" t="inlineStr">
        <is>
          <t>Check whether 'Transport Mode' can be disabled under VTS [Vehicle Tracking System / Stolen Vehicle Tracking] service in My Bentley App</t>
        </is>
      </c>
      <c r="G31" s="53" t="inlineStr">
        <is>
          <t>• My Bentley App is installed in either Apple or Android mobile devices</t>
        </is>
      </c>
      <c r="H31" s="79" t="inlineStr">
        <is>
          <t>• Internet Service should be enabled 
• Valid VTS [Vehicle Tracking System / Stolen Vehicle Tracking] License is available
• Vehicle is provisioned with VTS [Vehicle Tracking System / Stolen Vehicle Tracking] Service
• Transport Mode is enabled with set time
• Primary User Nomination process is successfully completed</t>
        </is>
      </c>
      <c r="I31"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is>
      </c>
      <c r="J31" s="53" t="inlineStr">
        <is>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is>
      </c>
      <c r="K31" s="53" t="n"/>
      <c r="L31" s="54" t="n"/>
      <c r="M31" s="53" t="n"/>
      <c r="N31" s="55" t="n"/>
    </row>
    <row r="32" ht="393.75" customHeight="1">
      <c r="B32" s="50" t="n">
        <v>28</v>
      </c>
      <c r="C32" s="51" t="inlineStr">
        <is>
          <t>EUR</t>
        </is>
      </c>
      <c r="D32" s="51" t="inlineStr">
        <is>
          <t>High</t>
        </is>
      </c>
      <c r="E32" s="52" t="n">
        <v>7</v>
      </c>
      <c r="F32" s="53" t="inlineStr">
        <is>
          <t>Check whether 'Deactivation Mode' can be enabled under VTS [Vehicle Tracking System / Stolen Vehicle Tracking] service in My Bentley App</t>
        </is>
      </c>
      <c r="G32"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32" s="79" t="n"/>
      <c r="I32"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is>
      </c>
      <c r="J32"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is>
      </c>
      <c r="K32" s="53" t="n"/>
      <c r="L32" s="54" t="n"/>
      <c r="M32" s="53" t="n"/>
      <c r="N32" s="55" t="n"/>
    </row>
    <row r="33" ht="409.5" customHeight="1">
      <c r="B33" s="50" t="n">
        <v>29</v>
      </c>
      <c r="C33" s="51" t="inlineStr">
        <is>
          <t>EUR</t>
        </is>
      </c>
      <c r="D33" s="51" t="inlineStr">
        <is>
          <t>Medium</t>
        </is>
      </c>
      <c r="E33" s="52" t="n">
        <v>7</v>
      </c>
      <c r="F33" s="53" t="inlineStr">
        <is>
          <t>Check for 'Deactivation Mode' activation status displayed under 'STOLEN VEHICLE TRACKING - My Alerts' screen[Deactivation Mode = ON]</t>
        </is>
      </c>
      <c r="G33" s="53" t="inlineStr">
        <is>
          <t>• My Bentley App is installed in either Apple or Android mobile devices</t>
        </is>
      </c>
      <c r="H3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33"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is>
      </c>
      <c r="J33"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is>
      </c>
      <c r="K33" s="53" t="n"/>
      <c r="L33" s="54" t="n"/>
      <c r="M33" s="53" t="n"/>
      <c r="N33" s="55" t="n"/>
    </row>
    <row r="34" ht="409.5" customHeight="1">
      <c r="B34" s="50" t="n">
        <v>30</v>
      </c>
      <c r="C34" s="51" t="inlineStr">
        <is>
          <t>EUR</t>
        </is>
      </c>
      <c r="D34" s="51" t="inlineStr">
        <is>
          <t>Medium</t>
        </is>
      </c>
      <c r="E34" s="52" t="n">
        <v>7</v>
      </c>
      <c r="F34" s="53" t="inlineStr">
        <is>
          <t>Check whether 'Deactivation Mode' is automatically disabled once the set timer expires under VTS [Vehicle Tracking System / Stolen Vehicle Tracking] feature in My Bentley App</t>
        </is>
      </c>
      <c r="G34" s="53" t="inlineStr">
        <is>
          <t>• My Bentley App is installed in either Apple or Android mobile devices</t>
        </is>
      </c>
      <c r="H34"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4"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34"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34" s="53" t="n"/>
      <c r="L34" s="54" t="n"/>
      <c r="M34" s="53" t="n"/>
      <c r="N34" s="55" t="n"/>
    </row>
    <row r="35" ht="378" customHeight="1">
      <c r="B35" s="50" t="n">
        <v>31</v>
      </c>
      <c r="C35" s="51" t="inlineStr">
        <is>
          <t>EUR</t>
        </is>
      </c>
      <c r="D35" s="51" t="inlineStr">
        <is>
          <t>Medium</t>
        </is>
      </c>
      <c r="E35" s="52" t="n">
        <v>7</v>
      </c>
      <c r="F35" s="53" t="inlineStr">
        <is>
          <t>Check whether 'Deactivation Mode' can be disabled under VTS [Vehicle Tracking System / Stolen Vehicle Tracking] service in My Bentley App</t>
        </is>
      </c>
      <c r="G35" s="53" t="inlineStr">
        <is>
          <t>• My Bentley App is installed in either Apple or Android mobile devices</t>
        </is>
      </c>
      <c r="H35"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is>
      </c>
      <c r="J35" s="53" t="inlineStr">
        <is>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is>
      </c>
      <c r="K35" s="53" t="n"/>
      <c r="L35" s="54" t="n"/>
      <c r="M35" s="53" t="n"/>
      <c r="N35" s="55" t="n"/>
    </row>
    <row r="36" ht="409.5" customHeight="1">
      <c r="B36" s="50" t="n">
        <v>32</v>
      </c>
      <c r="C36" s="51" t="inlineStr">
        <is>
          <t>EUR</t>
        </is>
      </c>
      <c r="D36" s="51" t="inlineStr">
        <is>
          <t>High</t>
        </is>
      </c>
      <c r="E36" s="52" t="n">
        <v>7</v>
      </c>
      <c r="F36" s="53" t="inlineStr">
        <is>
          <t>Verify only one of the special mode is activated at a time in My Bentley App</t>
        </is>
      </c>
      <c r="G36" s="53" t="inlineStr">
        <is>
          <t>• My Bentley App is installed in either Apple or Android mobile devices
• Log-In to My Bentley App with valid credentials
• Transport Mode = On</t>
        </is>
      </c>
      <c r="H3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Garage Mode = Off
• Deactivation Mode = Off</t>
        </is>
      </c>
      <c r="I36"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6" s="53" t="n"/>
      <c r="L36" s="54" t="n"/>
      <c r="M36" s="53" t="n"/>
      <c r="N36" s="55" t="n"/>
    </row>
    <row r="37" ht="157.5" customHeight="1">
      <c r="B37" s="50" t="n">
        <v>33</v>
      </c>
      <c r="C37" s="51" t="inlineStr">
        <is>
          <t>EUR</t>
        </is>
      </c>
      <c r="D37" s="51" t="inlineStr">
        <is>
          <t>Medium</t>
        </is>
      </c>
      <c r="E37" s="52" t="n">
        <v>7</v>
      </c>
      <c r="F37" s="53" t="inlineStr">
        <is>
          <t>Requesting VTS Customer Support Team to enable the 'Transport Mode'</t>
        </is>
      </c>
      <c r="G37" s="53" t="inlineStr">
        <is>
          <t>• My Bentley App is installed in either Apple or Android mobile devices
• Log-In to My Bentley App with valid credentials</t>
        </is>
      </c>
      <c r="H37"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7"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7"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7" s="53" t="n"/>
      <c r="L37" s="54" t="n"/>
      <c r="M37" s="53" t="n"/>
      <c r="N37" s="55" t="n"/>
    </row>
    <row r="38" ht="189" customHeight="1">
      <c r="B38" s="50" t="n">
        <v>34</v>
      </c>
      <c r="C38" s="51" t="inlineStr">
        <is>
          <t>EUR</t>
        </is>
      </c>
      <c r="D38" s="51" t="inlineStr">
        <is>
          <t>Medium</t>
        </is>
      </c>
      <c r="E38" s="52" t="n">
        <v>7</v>
      </c>
      <c r="F38" s="53" t="inlineStr">
        <is>
          <t>Requesting VTS Customer Support Team to disable the 'Garage Mode' / 'Transport Mode' / 'Deactivation Mode' if activated (Garage mode is on)</t>
        </is>
      </c>
      <c r="G38" s="53" t="inlineStr">
        <is>
          <t>• My Bentley App is installed in either Apple or Android mobile devices
• Log-In to My Bentley App with valid credentials</t>
        </is>
      </c>
      <c r="H38" s="79" t="inlineStr">
        <is>
          <t>• Primary User Nomination process is successfully completed
• Transport Mode = On / Garage Mode = On / Deactivation Mode = On (i.e. Activate only one special mode at a time)
• Primary User Nomination process is successfully completed</t>
        </is>
      </c>
      <c r="I38"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8"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8" s="53" t="n"/>
      <c r="L38" s="54" t="n"/>
      <c r="M38" s="53" t="n"/>
      <c r="N38" s="55" t="n"/>
    </row>
    <row r="39" ht="378" customHeight="1">
      <c r="B39" s="50" t="n">
        <v>35</v>
      </c>
      <c r="C39" s="51" t="inlineStr">
        <is>
          <t>EUR</t>
        </is>
      </c>
      <c r="D39" s="51" t="inlineStr">
        <is>
          <t>Medium</t>
        </is>
      </c>
      <c r="E39" s="52" t="n">
        <v>7</v>
      </c>
      <c r="F39" s="53" t="inlineStr">
        <is>
          <t xml:space="preserve">Requesting VTS Customer Support Team to enable / disable all special modes ['Garage Mode' , 'Transport Mode' &amp; 'Deactivation Mode'] at once
</t>
        </is>
      </c>
      <c r="G39" s="53" t="inlineStr">
        <is>
          <t>• My Bentley App is installed in either Apple or Android mobile devices
• Log-In to My Bentley App with valid credentials</t>
        </is>
      </c>
      <c r="H3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9"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9"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9" s="53" t="n"/>
      <c r="L39" s="54" t="n"/>
      <c r="M39" s="53" t="n"/>
      <c r="N39" s="55" t="n"/>
    </row>
    <row r="40" ht="267.75" customHeight="1">
      <c r="B40" s="50" t="n">
        <v>36</v>
      </c>
      <c r="C40" s="51" t="inlineStr">
        <is>
          <t>EUR</t>
        </is>
      </c>
      <c r="D40" s="51" t="inlineStr">
        <is>
          <t>Low</t>
        </is>
      </c>
      <c r="E40" s="52" t="n">
        <v>7</v>
      </c>
      <c r="F40" s="53" t="inlineStr">
        <is>
          <t>Check whether VTS [Vehicle Tracking System / Stolen Vehicle Tracking] theft alert triggered when vehicle is manually driven &gt;8 Km/hr OR &gt;500 m without a driver card present - [Ignition = ON, Garage Mode = OFF , Transport Mode = OFF , Deactivation Mode = OFF]</t>
        </is>
      </c>
      <c r="G40" s="53" t="inlineStr">
        <is>
          <t>• My Bentley App is installed in either Apple or Android mobile devices
• Log-In to My Bentley App with valid credentials</t>
        </is>
      </c>
      <c r="H4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40"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40"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40" s="53" t="n"/>
      <c r="L40" s="54" t="n"/>
      <c r="M40" s="53" t="n"/>
      <c r="N40" s="55" t="n"/>
    </row>
    <row r="41" ht="267.75" customHeight="1">
      <c r="B41" s="50" t="n">
        <v>37</v>
      </c>
      <c r="C41" s="51" t="inlineStr">
        <is>
          <t>EUR</t>
        </is>
      </c>
      <c r="D41" s="51" t="inlineStr">
        <is>
          <t>High</t>
        </is>
      </c>
      <c r="E41" s="52" t="n">
        <v>7</v>
      </c>
      <c r="F41"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41" s="53" t="inlineStr">
        <is>
          <t>• My Bentley App is installed in either Apple or Android mobile devices
• Log-In to My Bentley App with valid credentials</t>
        </is>
      </c>
      <c r="H41"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41"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1"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41" s="53" t="n"/>
      <c r="L41" s="54" t="n"/>
      <c r="M41" s="53" t="n"/>
      <c r="N41" s="55" t="n"/>
    </row>
    <row r="42" ht="267.75" customHeight="1">
      <c r="B42" s="50" t="n">
        <v>38</v>
      </c>
      <c r="C42" s="51" t="inlineStr">
        <is>
          <t>EUR</t>
        </is>
      </c>
      <c r="D42" s="51" t="inlineStr">
        <is>
          <t>High</t>
        </is>
      </c>
      <c r="E42" s="52" t="n">
        <v>7</v>
      </c>
      <c r="F42"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42" s="53" t="inlineStr">
        <is>
          <t>• My Bentley App is installed in either Apple or Android mobile devices
• Log-In to My Bentley App with valid credentials</t>
        </is>
      </c>
      <c r="H42"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42"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2"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2" s="53" t="n"/>
      <c r="L42" s="54" t="n"/>
      <c r="M42" s="53" t="n"/>
      <c r="N42" s="55" t="n"/>
    </row>
    <row r="43" ht="267.75" customHeight="1">
      <c r="B43" s="50" t="n">
        <v>39</v>
      </c>
      <c r="C43" s="51" t="inlineStr">
        <is>
          <t>EUR</t>
        </is>
      </c>
      <c r="D43" s="51" t="inlineStr">
        <is>
          <t>High</t>
        </is>
      </c>
      <c r="E43" s="52" t="n">
        <v>7</v>
      </c>
      <c r="F43"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43" s="53" t="inlineStr">
        <is>
          <t>• My Bentley App is installed in either Apple or Android mobile devices
• Log-In to My Bentley App with valid credentials</t>
        </is>
      </c>
      <c r="H4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43"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3"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3" s="53" t="n"/>
      <c r="L43" s="54" t="n"/>
      <c r="M43" s="53" t="n"/>
      <c r="N43" s="55" t="n"/>
    </row>
    <row r="44" ht="330.75" customHeight="1">
      <c r="B44" s="50" t="n">
        <v>40</v>
      </c>
      <c r="C44" s="51" t="inlineStr">
        <is>
          <t>EUR</t>
        </is>
      </c>
      <c r="D44" s="51" t="inlineStr">
        <is>
          <t>Medium</t>
        </is>
      </c>
      <c r="E44" s="52" t="n">
        <v>7</v>
      </c>
      <c r="F44" s="79" t="inlineStr">
        <is>
          <t>Verify manual VTS [Vehicle Tracking System / Stolen Vehicle Tracking] Theft Mode initiation when Customer reports theft by calling to to VTS Customer Support Centre Agent</t>
        </is>
      </c>
      <c r="G44" s="53" t="inlineStr">
        <is>
          <t>• My Bentley App is installed in either Apple or Android mobile devices</t>
        </is>
      </c>
      <c r="H44"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44"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44"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44" s="53" t="n"/>
      <c r="L44" s="54" t="n"/>
      <c r="M44" s="53" t="n"/>
      <c r="N44" s="55" t="n"/>
    </row>
    <row r="45" ht="173.25" customHeight="1">
      <c r="B45" s="50" t="n">
        <v>41</v>
      </c>
      <c r="C45" s="51" t="inlineStr">
        <is>
          <t>EUR</t>
        </is>
      </c>
      <c r="D45" s="51" t="inlineStr">
        <is>
          <t>Medium</t>
        </is>
      </c>
      <c r="E45" s="52" t="n">
        <v>7</v>
      </c>
      <c r="F45" s="79" t="inlineStr">
        <is>
          <t>Verify VTS [Vehicle Tracking System / Stolen Vehicle Tracking] Theft Mode not initiated when VTS False Alert is triggered</t>
        </is>
      </c>
      <c r="G45" s="53" t="inlineStr">
        <is>
          <t xml:space="preserve">
• My Bentley App is installed in either Apple or Android mobile devices
</t>
        </is>
      </c>
      <c r="H45" s="79" t="inlineStr">
        <is>
          <t>• Internet Service should be enabled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45"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45"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45" s="53" t="n"/>
      <c r="L45" s="54" t="n"/>
      <c r="M45" s="53" t="n"/>
      <c r="N45" s="55" t="n"/>
    </row>
    <row r="46" ht="409.5" customHeight="1">
      <c r="B46" s="50" t="n">
        <v>42</v>
      </c>
      <c r="C46" s="51" t="inlineStr">
        <is>
          <t>EUR</t>
        </is>
      </c>
      <c r="D46" s="51" t="inlineStr">
        <is>
          <t>Medium</t>
        </is>
      </c>
      <c r="E46" s="52" t="n">
        <v>7</v>
      </c>
      <c r="F46" s="79" t="inlineStr">
        <is>
          <t>Verify the HMI services when VTS [Vehicle Tracking System / Stolen Vehicle Tracking] Theft is initiated</t>
        </is>
      </c>
      <c r="G46" s="53" t="inlineStr">
        <is>
          <t xml:space="preserve">
• My Bentley App is installed in either Apple or Android mobile devices
</t>
        </is>
      </c>
      <c r="H46"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6"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6"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6" s="53" t="n"/>
      <c r="L46" s="54" t="n"/>
      <c r="M46" s="53" t="n"/>
      <c r="N46" s="55" t="n"/>
    </row>
    <row r="47" ht="393.75" customHeight="1">
      <c r="B47" s="50" t="n">
        <v>43</v>
      </c>
      <c r="C47" s="51" t="inlineStr">
        <is>
          <t>EUR</t>
        </is>
      </c>
      <c r="D47" s="51" t="inlineStr">
        <is>
          <t>Medium</t>
        </is>
      </c>
      <c r="E47" s="52" t="n">
        <v>7</v>
      </c>
      <c r="F47" s="79" t="inlineStr">
        <is>
          <t>Verify that only Theft Mode is displayed in My Bentley App and blocking all other services when VTS [Vehicle Tracking System / Stolen Vehicle Tracking] Theft is initiated</t>
        </is>
      </c>
      <c r="G47" s="53" t="inlineStr">
        <is>
          <t xml:space="preserve">
• My Bentley App is installed in either Apple or Android mobile devices</t>
        </is>
      </c>
      <c r="H47"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7"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7"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7" s="53" t="n"/>
      <c r="L47" s="86" t="n"/>
      <c r="M47" s="53" t="n"/>
      <c r="N47" s="55" t="n"/>
    </row>
    <row r="48" ht="362.25" customHeight="1">
      <c r="B48" s="50" t="n">
        <v>44</v>
      </c>
      <c r="C48" s="51" t="inlineStr">
        <is>
          <t>EUR</t>
        </is>
      </c>
      <c r="D48" s="51" t="inlineStr">
        <is>
          <t>Medium</t>
        </is>
      </c>
      <c r="E48" s="52" t="n">
        <v>7</v>
      </c>
      <c r="F48" s="79" t="inlineStr">
        <is>
          <t>Examination of damaged Driver Card in vehicle</t>
        </is>
      </c>
      <c r="G48" s="53" t="inlineStr">
        <is>
          <t xml:space="preserve">
• My Bentley App is installed on IOS / ANDROID mobile device
• Log-In to My Bentley App with valid credentials
• VTS [Vehicle Tracking System / Stolen Vehicle Tracking] License is active and in use</t>
        </is>
      </c>
      <c r="H48" s="79" t="inlineStr">
        <is>
          <t>• Internet Service should be enabled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8" s="53" t="n"/>
      <c r="L48" s="54" t="n"/>
      <c r="M48" s="53" t="n"/>
      <c r="N48" s="55" t="n"/>
    </row>
    <row r="49" ht="409.5" customHeight="1">
      <c r="B49" s="50" t="n">
        <v>45</v>
      </c>
      <c r="C49" s="51" t="inlineStr">
        <is>
          <t>EUR</t>
        </is>
      </c>
      <c r="D49" s="51" t="inlineStr">
        <is>
          <t>Medium</t>
        </is>
      </c>
      <c r="E49" s="52" t="n">
        <v>7</v>
      </c>
      <c r="F49" s="79" t="inlineStr">
        <is>
          <t>Vehicle VTS [Vehicle Tracking System / Stolen Vehicle Tracking] Ownership change process</t>
        </is>
      </c>
      <c r="G49" s="53" t="n"/>
      <c r="H4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9"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9"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9" s="53" t="n"/>
      <c r="L49" s="54" t="n"/>
      <c r="M49" s="53" t="n"/>
      <c r="N49" s="55" t="n"/>
    </row>
    <row r="50" ht="362.25" customHeight="1">
      <c r="B50" s="50" t="n">
        <v>46</v>
      </c>
      <c r="C50" s="51" t="inlineStr">
        <is>
          <t>EUR</t>
        </is>
      </c>
      <c r="D50" s="51" t="inlineStr">
        <is>
          <t>Medium</t>
        </is>
      </c>
      <c r="E50" s="52" t="n">
        <v>7</v>
      </c>
      <c r="F50" s="79" t="inlineStr">
        <is>
          <t>Examination of VTS [Vehicle Tracking System / Stolen Vehicle Tracking] Alert Notification goes to new owner when ownership of vehicle is changed by the dealer</t>
        </is>
      </c>
      <c r="G50" s="53" t="inlineStr">
        <is>
          <t xml:space="preserve">
• My Bentley App is installed on IOS / ANDROID mobile device
• Log-In to My Bentley App with valid credentials
• VTS [Vehicle Tracking System / Stolen Vehicle Tracking] License is active and in use</t>
        </is>
      </c>
      <c r="H5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50"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50"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50" s="53" t="n"/>
      <c r="L50" s="54" t="n"/>
      <c r="M50" s="53" t="n"/>
      <c r="N50" s="55" t="n"/>
    </row>
    <row r="51" ht="220.5" customHeight="1">
      <c r="B51" s="50" t="n">
        <v>47</v>
      </c>
      <c r="C51" s="51" t="inlineStr">
        <is>
          <t>EUR</t>
        </is>
      </c>
      <c r="D51" s="51" t="inlineStr">
        <is>
          <t>Low</t>
        </is>
      </c>
      <c r="E51" s="52" t="n">
        <v>7</v>
      </c>
      <c r="F51" s="79" t="inlineStr">
        <is>
          <t>Examination of logging in to My Bentley mobile app with previous ownership id when ownership of vehicle is changed by the dealer</t>
        </is>
      </c>
      <c r="G51" s="53" t="inlineStr">
        <is>
          <t xml:space="preserve">
• My Bentley App is installed in either Apple or Android mobile devices</t>
        </is>
      </c>
      <c r="H5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51"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51" s="53" t="inlineStr">
        <is>
          <t>1. My Bentley App is launched successfully and focus is in vehicle 'DASHBOARD' screen
2. Vehicle Information should not be displayed in My Bentley App using previous owner login credentials when ownership of vehicle is changed by the dealer</t>
        </is>
      </c>
      <c r="K51" s="53" t="n"/>
      <c r="L51" s="54" t="n"/>
      <c r="M51" s="53" t="n"/>
      <c r="N51" s="55" t="n"/>
    </row>
    <row r="52" ht="378" customHeight="1">
      <c r="B52" s="50" t="n">
        <v>48</v>
      </c>
      <c r="C52" s="51" t="inlineStr">
        <is>
          <t>EUR</t>
        </is>
      </c>
      <c r="D52" s="51" t="inlineStr">
        <is>
          <t>Low</t>
        </is>
      </c>
      <c r="E52" s="52" t="n">
        <v>7</v>
      </c>
      <c r="F52" s="79" t="inlineStr">
        <is>
          <t>Examination of deactivated Driver Card in vehicle</t>
        </is>
      </c>
      <c r="G52" s="53" t="inlineStr">
        <is>
          <t xml:space="preserve">
• My Bentley App is installed on IOS / ANDROID mobile device
• Log-In to My Bentley App with valid credentials</t>
        </is>
      </c>
      <c r="H52" s="79" t="inlineStr">
        <is>
          <t>• Internet Service should be enabled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5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5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52" s="53" t="n"/>
      <c r="L52" s="54" t="n"/>
      <c r="M52" s="53" t="n"/>
      <c r="N52" s="55" t="n"/>
    </row>
    <row r="53" ht="204.75" customHeight="1">
      <c r="B53" s="50" t="n">
        <v>49</v>
      </c>
      <c r="C53" s="51" t="inlineStr">
        <is>
          <t>EUR</t>
        </is>
      </c>
      <c r="D53" s="51" t="inlineStr">
        <is>
          <t>High</t>
        </is>
      </c>
      <c r="E53" s="52" t="n">
        <v>7</v>
      </c>
      <c r="F53" s="79" t="inlineStr">
        <is>
          <t>Checking whether Customer able to download the VTS [Vehicle Tracking System / Stolen Vehicle Tracking] certificate(i.e.  My VTS Certificate)</t>
        </is>
      </c>
      <c r="G53" s="53" t="inlineStr">
        <is>
          <t>• My Bentley App is installed in IOS / ANDROID device
• Log-In to My Bentley App with valid credentials
• VTS [Vehicle Tracking System / Stolen Vehicle Tracking] License is active and in use</t>
        </is>
      </c>
      <c r="H5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3"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53"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53" s="53" t="n"/>
      <c r="L53" s="54" t="n"/>
      <c r="M53" s="53" t="n"/>
      <c r="N53" s="55" t="n"/>
    </row>
    <row r="54" ht="157.5" customHeight="1">
      <c r="B54" s="50" t="n">
        <v>50</v>
      </c>
      <c r="C54" s="51" t="inlineStr">
        <is>
          <t>EUR</t>
        </is>
      </c>
      <c r="D54" s="51" t="inlineStr">
        <is>
          <t>Medium</t>
        </is>
      </c>
      <c r="E54" s="52" t="n">
        <v>7</v>
      </c>
      <c r="F54" s="79" t="inlineStr">
        <is>
          <t>Checking for Vodafone Customer Care Contact Details via My Bentley App(STOLEN VEHICLE TRACKING screen)</t>
        </is>
      </c>
      <c r="G54" s="53" t="inlineStr">
        <is>
          <t xml:space="preserve">
• My Bentley App is installed in IOS / ANDROID device
• Log-In to My Bentley App with valid credentials
• VTS [Vehicle Tracking System / Stolen Vehicle Tracking] License is active and in use</t>
        </is>
      </c>
      <c r="H5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4" s="53" t="inlineStr">
        <is>
          <t>1. Go to My Bentley App --&gt; CAR REMOTE --&gt; STOLEN VEHICLE TRACKING - section --&gt;  STOLEN VEHICLE TRACKING screen
2. Click on 'Contact Button' Icon in STOLEN VEHICLE TRACKING screen</t>
        </is>
      </c>
      <c r="J54"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54" s="53" t="n"/>
      <c r="L54" s="54" t="n"/>
      <c r="M54" s="53" t="n"/>
      <c r="N54" s="55" t="n"/>
    </row>
    <row r="55" ht="157.5" customHeight="1">
      <c r="B55" s="50" t="n">
        <v>51</v>
      </c>
      <c r="C55" s="51" t="inlineStr">
        <is>
          <t>EUR</t>
        </is>
      </c>
      <c r="D55" s="51" t="inlineStr">
        <is>
          <t>Medium</t>
        </is>
      </c>
      <c r="E55" s="52" t="n">
        <v>7</v>
      </c>
      <c r="F55" s="79" t="inlineStr">
        <is>
          <t>Verify initiating call to VTS Customer Care Contact Details via My Bentley App(STOLEN VEHICLE TRACKING screen)</t>
        </is>
      </c>
      <c r="G55" s="53" t="inlineStr">
        <is>
          <t>• My Bentley App is installed in IOS / ANDROID device
• Log-In to My Bentley App with valid credentials</t>
        </is>
      </c>
      <c r="H55"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5"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55" s="53" t="inlineStr">
        <is>
          <t xml:space="preserve">1. Clicking on 'Contact Button' Icon in STOLEN VEHICLE TRACKING screen displays VTS Customer Care Centre Contact details(Ex : +44 333 122 2222)
2. Call should be initaited successfully to VTS Customer Care Centre without any issue
</t>
        </is>
      </c>
      <c r="K55" s="53" t="n"/>
      <c r="L55" s="54" t="n"/>
      <c r="M55" s="53" t="n"/>
      <c r="N55" s="55" t="n"/>
    </row>
    <row r="56" ht="204.75" customHeight="1">
      <c r="B56" s="50" t="n">
        <v>52</v>
      </c>
      <c r="C56" s="51" t="inlineStr">
        <is>
          <t>EUR</t>
        </is>
      </c>
      <c r="D56" s="51" t="inlineStr">
        <is>
          <t>Low</t>
        </is>
      </c>
      <c r="E56" s="52" t="n">
        <v>7</v>
      </c>
      <c r="F56" s="79" t="inlineStr">
        <is>
          <t>Validating VTS Theft Section in DASHBOARD screen of My Bentley App when actual Theft is initiated</t>
        </is>
      </c>
      <c r="G56" s="53" t="inlineStr">
        <is>
          <t xml:space="preserve">
• My Bentley App is installed in IOS / ANDROID device
• Log-In to My Bentley App with valid credentials</t>
        </is>
      </c>
      <c r="H5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6"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6"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6" s="53" t="n"/>
      <c r="L56" s="54" t="n"/>
      <c r="M56" s="53" t="n"/>
      <c r="N56" s="55" t="n"/>
    </row>
    <row r="57" ht="267.75" customHeight="1">
      <c r="B57" s="50" t="n">
        <v>53</v>
      </c>
      <c r="C57" s="51" t="inlineStr">
        <is>
          <t>EUR</t>
        </is>
      </c>
      <c r="D57" s="51" t="inlineStr">
        <is>
          <t>High</t>
        </is>
      </c>
      <c r="E57" s="52" t="n">
        <v>7</v>
      </c>
      <c r="F57" s="79" t="inlineStr">
        <is>
          <t>Checking for VTS Customer Care Contact Details in DASHBOARD(Theft Detected -  Section) screen of My Bentley App when actual Theft is initiated</t>
        </is>
      </c>
      <c r="G57" s="53" t="inlineStr">
        <is>
          <t xml:space="preserve">
• My Bentley App is installed in either Apple or Android mobile devices</t>
        </is>
      </c>
      <c r="H57" s="79" t="inlineStr">
        <is>
          <t>• Internet Service should be enabled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7"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7"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7" s="53" t="n"/>
      <c r="L57" s="54" t="n"/>
      <c r="M57" s="53" t="n"/>
      <c r="N57" s="55" t="n"/>
    </row>
    <row r="58" ht="315" customHeight="1">
      <c r="B58" s="50" t="n">
        <v>54</v>
      </c>
      <c r="C58" s="51" t="inlineStr">
        <is>
          <t>EUR</t>
        </is>
      </c>
      <c r="D58" s="51" t="inlineStr">
        <is>
          <t>High</t>
        </is>
      </c>
      <c r="E58" s="52" t="n">
        <v>7</v>
      </c>
      <c r="F58" s="79" t="inlineStr">
        <is>
          <t>Verify initiating call to VTS Customer Care Contact Details in DASHBOARD(Theft Detected -  Section) screen of My Bentley App when actual Theft is initiated</t>
        </is>
      </c>
      <c r="G58" s="53" t="inlineStr">
        <is>
          <t xml:space="preserve">
• My Bentley App is installed in IOS / ANDROID device
• Log-In to My Bentley App with valid credentials</t>
        </is>
      </c>
      <c r="H5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8"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8"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8" s="53" t="n"/>
      <c r="L58" s="54" t="n"/>
      <c r="M58" s="53" t="n"/>
      <c r="N58" s="55" t="n"/>
    </row>
    <row r="59" ht="409.5" customHeight="1">
      <c r="B59" s="50" t="n">
        <v>55</v>
      </c>
      <c r="C59" s="51" t="inlineStr">
        <is>
          <t>EUR</t>
        </is>
      </c>
      <c r="D59" s="51" t="inlineStr">
        <is>
          <t>High</t>
        </is>
      </c>
      <c r="E59" s="52" t="n">
        <v>7</v>
      </c>
      <c r="F59" s="79" t="inlineStr">
        <is>
          <t>Validate 'My Security Language' option under 'My Details' tab of STOLEN VEHICLE TRACKING screen</t>
        </is>
      </c>
      <c r="G59" s="53" t="inlineStr">
        <is>
          <t>• My Bentley App is installed in either Apple or Android mobile devices</t>
        </is>
      </c>
      <c r="H59"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9"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9"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9" s="53" t="n"/>
      <c r="L59" s="54" t="n"/>
      <c r="M59" s="53" t="n"/>
      <c r="N59" s="55" t="n"/>
    </row>
    <row r="60" ht="409.5" customHeight="1">
      <c r="B60" s="50" t="n">
        <v>56</v>
      </c>
      <c r="C60" s="51" t="inlineStr">
        <is>
          <t>EUR</t>
        </is>
      </c>
      <c r="D60" s="51" t="inlineStr">
        <is>
          <t>Medium</t>
        </is>
      </c>
      <c r="E60" s="52" t="n">
        <v>7</v>
      </c>
      <c r="F60" s="79" t="inlineStr">
        <is>
          <t>Validate 'My Bentley'(i.e. Vehicle Details) option under 'My Details' tab of STOLEN VEHICLE TRACKING screen</t>
        </is>
      </c>
      <c r="G60" s="53" t="inlineStr">
        <is>
          <t xml:space="preserve">
• My Bentley App is installed in either Apple or Android mobile devices</t>
        </is>
      </c>
      <c r="H60"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60"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60"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60" s="53" t="n"/>
      <c r="L60" s="54" t="n"/>
      <c r="M60" s="53" t="n"/>
      <c r="N60" s="55" t="n"/>
    </row>
    <row r="61" ht="409.5" customHeight="1">
      <c r="B61" s="50" t="n">
        <v>57</v>
      </c>
      <c r="C61" s="51" t="inlineStr">
        <is>
          <t>EUR</t>
        </is>
      </c>
      <c r="D61" s="51" t="inlineStr">
        <is>
          <t>Medium</t>
        </is>
      </c>
      <c r="E61" s="52" t="n">
        <v>7</v>
      </c>
      <c r="F61"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61" s="53" t="inlineStr">
        <is>
          <t xml:space="preserve">
• My Bentley App is installed in either Apple or Android mobile devices
</t>
        </is>
      </c>
      <c r="H61" s="79" t="inlineStr">
        <is>
          <t>• Internet Service should be enabled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61"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61"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61" s="53" t="n"/>
      <c r="L61" s="54" t="n"/>
      <c r="M61" s="53" t="n"/>
      <c r="N61" s="55" t="n"/>
    </row>
    <row r="62" ht="409.5" customHeight="1">
      <c r="B62" s="50" t="n">
        <v>58</v>
      </c>
      <c r="C62" s="51" t="inlineStr">
        <is>
          <t>EUR</t>
        </is>
      </c>
      <c r="D62" s="51" t="inlineStr">
        <is>
          <t>Medium</t>
        </is>
      </c>
      <c r="E62" s="52" t="n">
        <v>7</v>
      </c>
      <c r="F62" s="79" t="inlineStr">
        <is>
          <t>Check whether customer's address information is autopopulated as a part of Vehicle Registration Process when this information is already provided during VIN adding process / Bentley Account ID creation process</t>
        </is>
      </c>
      <c r="G62" s="53" t="inlineStr">
        <is>
          <t xml:space="preserve">
• My Bentley App is installed in either Apple or Android mobile devices</t>
        </is>
      </c>
      <c r="H62"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62"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62"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62" s="53" t="n"/>
      <c r="L62" s="54" t="n"/>
      <c r="M62" s="53" t="n"/>
      <c r="N62" s="55" t="n"/>
    </row>
    <row r="63" ht="409.5" customHeight="1">
      <c r="B63" s="50" t="n">
        <v>59</v>
      </c>
      <c r="C63" s="51" t="inlineStr">
        <is>
          <t>EUR</t>
        </is>
      </c>
      <c r="D63" s="51" t="inlineStr">
        <is>
          <t>Medium</t>
        </is>
      </c>
      <c r="E63" s="52" t="n">
        <v>7</v>
      </c>
      <c r="F63" s="79" t="inlineStr">
        <is>
          <t>Check whether customer's Primary Mobile Number Information is autopopulated as a part of Vehicle Registration Process when this information is already provided during VIN adding process / Bentley Account ID creation process</t>
        </is>
      </c>
      <c r="G63" s="53" t="inlineStr">
        <is>
          <t xml:space="preserve">
• My Bentley App is installed in either Apple or Android mobile devices</t>
        </is>
      </c>
      <c r="H63"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63"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63"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63" s="53" t="n"/>
      <c r="L63" s="54" t="n"/>
      <c r="M63" s="53" t="n"/>
      <c r="N63" s="55" t="n"/>
    </row>
    <row r="64" ht="378" customHeight="1">
      <c r="B64" s="50" t="n">
        <v>60</v>
      </c>
      <c r="C64" s="51" t="inlineStr">
        <is>
          <t>EUR</t>
        </is>
      </c>
      <c r="D64" s="51" t="inlineStr">
        <is>
          <t>Low</t>
        </is>
      </c>
      <c r="E64" s="52" t="n">
        <v>7</v>
      </c>
      <c r="F64" s="79" t="inlineStr">
        <is>
          <t>Validating STOLEN VEHICLE TRACKING Text in all the screens irrespective of Theft initiation or not</t>
        </is>
      </c>
      <c r="G64" s="53" t="inlineStr">
        <is>
          <t xml:space="preserve">
• My Bentley App is installed in IOS / ANDROID device
• Log-In to My Bentley App with valid credentials</t>
        </is>
      </c>
      <c r="H6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64"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64"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64" s="53" t="n"/>
      <c r="L64" s="54" t="n"/>
      <c r="M64" s="53" t="n"/>
      <c r="N64" s="55" t="n"/>
    </row>
  </sheetData>
  <mergeCells count="3">
    <mergeCell ref="F3:M3"/>
    <mergeCell ref="B2:M2"/>
    <mergeCell ref="B3:C3"/>
  </mergeCells>
  <conditionalFormatting sqref="K5:K41">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64">
    <cfRule type="cellIs" priority="1" operator="equal" dxfId="13">
      <formula>"Not Tested"</formula>
    </cfRule>
  </conditionalFormatting>
  <conditionalFormatting sqref="K43:K64">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64">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6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2025-11-17T15:22:11Z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